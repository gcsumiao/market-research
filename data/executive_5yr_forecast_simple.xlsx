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5 Year Forecast" sheetId="1" state="visible" r:id="rId1"/>
  </sheets>
  <definedNames>
    <definedName name="_xlnm._FilterDatabase" localSheetId="0" hidden="1">'5 Year Forecast'!$A$1:$AF$16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\$0.00\M"/>
    <numFmt numFmtId="166" formatCode="0.0%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15">
    <fill>
      <patternFill/>
    </fill>
    <fill>
      <patternFill patternType="gray125"/>
    </fill>
    <fill>
      <patternFill patternType="solid">
        <fgColor rgb="FF2F4F4F"/>
        <bgColor rgb="FF1F4B1B"/>
      </patternFill>
    </fill>
    <fill>
      <patternFill patternType="solid">
        <fgColor rgb="FF2C5F8D"/>
        <bgColor rgb="FF2F4F4F"/>
      </patternFill>
    </fill>
    <fill>
      <patternFill patternType="solid">
        <fgColor rgb="FF3F7B39"/>
        <bgColor rgb="FF2F4F4F"/>
      </patternFill>
    </fill>
    <fill>
      <patternFill patternType="solid">
        <fgColor rgb="FF9C6512"/>
        <bgColor rgb="FFA73C52"/>
      </patternFill>
    </fill>
    <fill>
      <patternFill patternType="solid">
        <fgColor rgb="FF6B58A5"/>
        <bgColor rgb="FF808080"/>
      </patternFill>
    </fill>
    <fill>
      <patternFill patternType="solid">
        <fgColor rgb="FFA73C52"/>
        <bgColor rgb="FF993366"/>
      </patternFill>
    </fill>
    <fill>
      <patternFill patternType="solid">
        <fgColor rgb="FF1F4B1B"/>
        <bgColor rgb="FF2F4F4F"/>
      </patternFill>
    </fill>
    <fill>
      <patternFill patternType="solid">
        <fgColor rgb="FFEAF1F8"/>
        <bgColor rgb="FFEFEDFA"/>
      </patternFill>
    </fill>
    <fill>
      <patternFill patternType="solid">
        <fgColor rgb="FFEAF3EA"/>
        <bgColor rgb="FFEAF1F8"/>
      </patternFill>
    </fill>
    <fill>
      <patternFill patternType="solid">
        <fgColor rgb="FFFAF1E1"/>
        <bgColor rgb="FFFAEBEF"/>
      </patternFill>
    </fill>
    <fill>
      <patternFill patternType="solid">
        <fgColor rgb="FFEFEDFA"/>
        <bgColor rgb="FFEAF1F8"/>
      </patternFill>
    </fill>
    <fill>
      <patternFill patternType="solid">
        <fgColor rgb="FFFAEBEF"/>
        <bgColor rgb="FFFAF1E1"/>
      </patternFill>
    </fill>
    <fill>
      <patternFill patternType="solid">
        <fgColor rgb="FFE1F0E1"/>
        <bgColor rgb="FFEAF3EA"/>
      </patternFill>
    </fill>
  </fills>
  <borders count="2">
    <border>
      <left/>
      <right/>
      <top/>
      <bottom/>
      <diagonal/>
    </border>
    <border>
      <left style="thin">
        <color rgb="FFC8C6BD"/>
      </left>
      <right style="thin">
        <color rgb="FFC8C6BD"/>
      </right>
      <top style="thin">
        <color rgb="FFC8C6BD"/>
      </top>
      <bottom style="thin">
        <color rgb="FFC8C6B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164" fontId="5" fillId="9" borderId="1" applyAlignment="1" pivotButton="0" quotePrefix="0" xfId="0">
      <alignment horizontal="general" vertical="center"/>
    </xf>
    <xf numFmtId="3" fontId="5" fillId="9" borderId="1" applyAlignment="1" pivotButton="0" quotePrefix="0" xfId="0">
      <alignment horizontal="general" vertical="center"/>
    </xf>
    <xf numFmtId="165" fontId="5" fillId="9" borderId="1" applyAlignment="1" pivotButton="0" quotePrefix="0" xfId="0">
      <alignment horizontal="general" vertical="center"/>
    </xf>
    <xf numFmtId="166" fontId="5" fillId="10" borderId="1" applyAlignment="1" pivotButton="0" quotePrefix="0" xfId="0">
      <alignment horizontal="general" vertical="center"/>
    </xf>
    <xf numFmtId="164" fontId="5" fillId="10" borderId="1" applyAlignment="1" pivotButton="0" quotePrefix="0" xfId="0">
      <alignment horizontal="general" vertical="center"/>
    </xf>
    <xf numFmtId="3" fontId="5" fillId="10" borderId="1" applyAlignment="1" pivotButton="0" quotePrefix="0" xfId="0">
      <alignment horizontal="general" vertical="center"/>
    </xf>
    <xf numFmtId="165" fontId="5" fillId="10" borderId="1" applyAlignment="1" pivotButton="0" quotePrefix="0" xfId="0">
      <alignment horizontal="general" vertical="center"/>
    </xf>
    <xf numFmtId="166" fontId="5" fillId="11" borderId="1" applyAlignment="1" pivotButton="0" quotePrefix="0" xfId="0">
      <alignment horizontal="general" vertical="center"/>
    </xf>
    <xf numFmtId="164" fontId="5" fillId="11" borderId="1" applyAlignment="1" pivotButton="0" quotePrefix="0" xfId="0">
      <alignment horizontal="general" vertical="center"/>
    </xf>
    <xf numFmtId="3" fontId="5" fillId="11" borderId="1" applyAlignment="1" pivotButton="0" quotePrefix="0" xfId="0">
      <alignment horizontal="general" vertical="center"/>
    </xf>
    <xf numFmtId="165" fontId="5" fillId="11" borderId="1" applyAlignment="1" pivotButton="0" quotePrefix="0" xfId="0">
      <alignment horizontal="general" vertical="center"/>
    </xf>
    <xf numFmtId="166" fontId="5" fillId="12" borderId="1" applyAlignment="1" pivotButton="0" quotePrefix="0" xfId="0">
      <alignment horizontal="general" vertical="center"/>
    </xf>
    <xf numFmtId="164" fontId="5" fillId="12" borderId="1" applyAlignment="1" pivotButton="0" quotePrefix="0" xfId="0">
      <alignment horizontal="general" vertical="center"/>
    </xf>
    <xf numFmtId="3" fontId="5" fillId="12" borderId="1" applyAlignment="1" pivotButton="0" quotePrefix="0" xfId="0">
      <alignment horizontal="general" vertical="center"/>
    </xf>
    <xf numFmtId="165" fontId="5" fillId="12" borderId="1" applyAlignment="1" pivotButton="0" quotePrefix="0" xfId="0">
      <alignment horizontal="general" vertical="center"/>
    </xf>
    <xf numFmtId="166" fontId="5" fillId="13" borderId="1" applyAlignment="1" pivotButton="0" quotePrefix="0" xfId="0">
      <alignment horizontal="general" vertical="center"/>
    </xf>
    <xf numFmtId="164" fontId="5" fillId="13" borderId="1" applyAlignment="1" pivotButton="0" quotePrefix="0" xfId="0">
      <alignment horizontal="general" vertical="center"/>
    </xf>
    <xf numFmtId="3" fontId="5" fillId="13" borderId="1" applyAlignment="1" pivotButton="0" quotePrefix="0" xfId="0">
      <alignment horizontal="general" vertical="center"/>
    </xf>
    <xf numFmtId="165" fontId="5" fillId="13" borderId="1" applyAlignment="1" pivotButton="0" quotePrefix="0" xfId="0">
      <alignment horizontal="general" vertical="center"/>
    </xf>
    <xf numFmtId="165" fontId="5" fillId="14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164" fontId="5" fillId="9" borderId="1" applyAlignment="1" pivotButton="0" quotePrefix="0" xfId="0">
      <alignment horizontal="general" vertical="center"/>
    </xf>
    <xf numFmtId="3" fontId="5" fillId="9" borderId="1" applyAlignment="1" pivotButton="0" quotePrefix="0" xfId="0">
      <alignment horizontal="general" vertical="center"/>
    </xf>
    <xf numFmtId="165" fontId="5" fillId="9" borderId="1" applyAlignment="1" pivotButton="0" quotePrefix="0" xfId="0">
      <alignment horizontal="general" vertical="center"/>
    </xf>
    <xf numFmtId="166" fontId="5" fillId="10" borderId="1" applyAlignment="1" pivotButton="0" quotePrefix="0" xfId="0">
      <alignment horizontal="general" vertical="center"/>
    </xf>
    <xf numFmtId="164" fontId="5" fillId="10" borderId="1" applyAlignment="1" pivotButton="0" quotePrefix="0" xfId="0">
      <alignment horizontal="general" vertical="center"/>
    </xf>
    <xf numFmtId="3" fontId="5" fillId="10" borderId="1" applyAlignment="1" pivotButton="0" quotePrefix="0" xfId="0">
      <alignment horizontal="general" vertical="center"/>
    </xf>
    <xf numFmtId="165" fontId="5" fillId="10" borderId="1" applyAlignment="1" pivotButton="0" quotePrefix="0" xfId="0">
      <alignment horizontal="general" vertical="center"/>
    </xf>
    <xf numFmtId="166" fontId="5" fillId="11" borderId="1" applyAlignment="1" pivotButton="0" quotePrefix="0" xfId="0">
      <alignment horizontal="general" vertical="center"/>
    </xf>
    <xf numFmtId="164" fontId="5" fillId="11" borderId="1" applyAlignment="1" pivotButton="0" quotePrefix="0" xfId="0">
      <alignment horizontal="general" vertical="center"/>
    </xf>
    <xf numFmtId="3" fontId="5" fillId="11" borderId="1" applyAlignment="1" pivotButton="0" quotePrefix="0" xfId="0">
      <alignment horizontal="general" vertical="center"/>
    </xf>
    <xf numFmtId="165" fontId="5" fillId="11" borderId="1" applyAlignment="1" pivotButton="0" quotePrefix="0" xfId="0">
      <alignment horizontal="general" vertical="center"/>
    </xf>
    <xf numFmtId="166" fontId="5" fillId="12" borderId="1" applyAlignment="1" pivotButton="0" quotePrefix="0" xfId="0">
      <alignment horizontal="general" vertical="center"/>
    </xf>
    <xf numFmtId="164" fontId="5" fillId="12" borderId="1" applyAlignment="1" pivotButton="0" quotePrefix="0" xfId="0">
      <alignment horizontal="general" vertical="center"/>
    </xf>
    <xf numFmtId="3" fontId="5" fillId="12" borderId="1" applyAlignment="1" pivotButton="0" quotePrefix="0" xfId="0">
      <alignment horizontal="general" vertical="center"/>
    </xf>
    <xf numFmtId="165" fontId="5" fillId="12" borderId="1" applyAlignment="1" pivotButton="0" quotePrefix="0" xfId="0">
      <alignment horizontal="general" vertical="center"/>
    </xf>
    <xf numFmtId="166" fontId="5" fillId="13" borderId="1" applyAlignment="1" pivotButton="0" quotePrefix="0" xfId="0">
      <alignment horizontal="general" vertical="center"/>
    </xf>
    <xf numFmtId="164" fontId="5" fillId="13" borderId="1" applyAlignment="1" pivotButton="0" quotePrefix="0" xfId="0">
      <alignment horizontal="general" vertical="center"/>
    </xf>
    <xf numFmtId="3" fontId="5" fillId="13" borderId="1" applyAlignment="1" pivotButton="0" quotePrefix="0" xfId="0">
      <alignment horizontal="general" vertical="center"/>
    </xf>
    <xf numFmtId="165" fontId="5" fillId="13" borderId="1" applyAlignment="1" pivotButton="0" quotePrefix="0" xfId="0">
      <alignment horizontal="general" vertical="center"/>
    </xf>
    <xf numFmtId="165" fontId="5" fillId="14" borderId="1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FF2F4F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C5F8D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fgColor rgb="FF3F7B39"/>
          <bgColor rgb="FF000000"/>
        </patternFill>
      </fill>
    </dxf>
    <dxf>
      <fill>
        <patternFill patternType="solid">
          <fgColor rgb="FFEAF3EA"/>
          <bgColor rgb="FF000000"/>
        </patternFill>
      </fill>
    </dxf>
    <dxf>
      <fill>
        <patternFill patternType="solid">
          <fgColor rgb="FF9C6512"/>
          <bgColor rgb="FF000000"/>
        </patternFill>
      </fill>
    </dxf>
    <dxf>
      <fill>
        <patternFill patternType="solid">
          <fgColor rgb="FFFAF1E1"/>
          <bgColor rgb="FF000000"/>
        </patternFill>
      </fill>
    </dxf>
    <dxf>
      <fill>
        <patternFill patternType="solid">
          <fgColor rgb="FF6B58A5"/>
          <bgColor rgb="FF000000"/>
        </patternFill>
      </fill>
    </dxf>
    <dxf>
      <fill>
        <patternFill patternType="solid">
          <fgColor rgb="FFEFEDFA"/>
          <bgColor rgb="FF000000"/>
        </patternFill>
      </fill>
    </dxf>
    <dxf>
      <fill>
        <patternFill patternType="solid">
          <fgColor rgb="FFA73C52"/>
          <bgColor rgb="FF000000"/>
        </patternFill>
      </fill>
    </dxf>
    <dxf>
      <fill>
        <patternFill patternType="solid">
          <fgColor rgb="FFFAEBEF"/>
          <bgColor rgb="FF000000"/>
        </patternFill>
      </fill>
    </dxf>
    <dxf>
      <fill>
        <patternFill patternType="solid">
          <fgColor rgb="FF1F4B1B"/>
          <bgColor rgb="FF000000"/>
        </patternFill>
      </fill>
    </dxf>
    <dxf>
      <fill>
        <patternFill patternType="solid">
          <fgColor rgb="FFE1F0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12"/>
      <rgbColor rgb="FF800080"/>
      <rgbColor rgb="FF008080"/>
      <rgbColor rgb="FFC8C6BD"/>
      <rgbColor rgb="FF808080"/>
      <rgbColor rgb="FF9999FF"/>
      <rgbColor rgb="FFA73C52"/>
      <rgbColor rgb="FFFAF1E1"/>
      <rgbColor rgb="FFEAF1F8"/>
      <rgbColor rgb="FF660066"/>
      <rgbColor rgb="FFFF8080"/>
      <rgbColor rgb="FF2C5F8D"/>
      <rgbColor rgb="FFEFED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EA"/>
      <rgbColor rgb="FFE1F0E1"/>
      <rgbColor rgb="FFFAEBE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8A5"/>
      <rgbColor rgb="FF969696"/>
      <rgbColor rgb="FF003366"/>
      <rgbColor rgb="FF3F7B39"/>
      <rgbColor rgb="FF003300"/>
      <rgbColor rgb="FF333300"/>
      <rgbColor rgb="FF993300"/>
      <rgbColor rgb="FF993366"/>
      <rgbColor rgb="FF2F4F4F"/>
      <rgbColor rgb="FF1F4B1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G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E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30" min="1" max="1"/>
    <col width="42" customWidth="1" style="30" min="2" max="2"/>
    <col width="22" customWidth="1" style="30" min="3" max="3"/>
    <col width="26" customWidth="1" style="30" min="4" max="4"/>
    <col width="13" customWidth="1" style="30" min="5" max="5"/>
    <col width="11" customWidth="1" style="30" min="6" max="6"/>
    <col width="12" customWidth="1" style="30" min="7" max="7"/>
    <col width="11" customWidth="1" style="30" min="8" max="8"/>
    <col width="13" customWidth="1" style="30" min="9" max="9"/>
    <col width="11" customWidth="1" style="30" min="10" max="12"/>
    <col width="12" customWidth="1" style="30" min="13" max="13"/>
    <col width="11" customWidth="1" style="30" min="14" max="14"/>
    <col width="13" customWidth="1" style="30" min="15" max="15"/>
    <col width="11" customWidth="1" style="30" min="16" max="18"/>
    <col width="12" customWidth="1" style="30" min="19" max="19"/>
    <col width="11" customWidth="1" style="30" min="20" max="20"/>
    <col width="13" customWidth="1" style="30" min="21" max="21"/>
    <col width="11" customWidth="1" style="30" min="22" max="24"/>
    <col width="12" customWidth="1" style="30" min="25" max="25"/>
    <col width="11" customWidth="1" style="30" min="26" max="26"/>
    <col width="13" customWidth="1" style="30" min="27" max="27"/>
    <col width="11" customWidth="1" style="30" min="28" max="30"/>
    <col width="12" customWidth="1" style="30" min="31" max="31"/>
    <col width="18" customWidth="1" style="30" min="32" max="32"/>
    <col hidden="1" width="8" customWidth="1" style="30" min="33" max="33"/>
  </cols>
  <sheetData>
    <row r="1" ht="37.5" customHeight="1" s="31">
      <c r="A1" s="32" t="inlineStr">
        <is>
          <t>Product</t>
        </is>
      </c>
      <c r="B1" s="32" t="inlineStr">
        <is>
          <t>Forecast Entity</t>
        </is>
      </c>
      <c r="C1" s="32" t="inlineStr">
        <is>
          <t>Quadrant</t>
        </is>
      </c>
      <c r="D1" s="32" t="inlineStr">
        <is>
          <t>Status / Caveat</t>
        </is>
      </c>
      <c r="E1" s="33" t="inlineStr">
        <is>
          <t>Y1 Target Price</t>
        </is>
      </c>
      <c r="F1" s="33" t="inlineStr">
        <is>
          <t>Y1 Units</t>
        </is>
      </c>
      <c r="G1" s="33" t="inlineStr">
        <is>
          <t>Y1 Revenue ($M)</t>
        </is>
      </c>
      <c r="H1" s="34" t="inlineStr">
        <is>
          <t>Y2 Price Growth %</t>
        </is>
      </c>
      <c r="I1" s="34" t="inlineStr">
        <is>
          <t>Y2 Target Price</t>
        </is>
      </c>
      <c r="J1" s="34" t="inlineStr">
        <is>
          <t>Y2 Unit Growth %</t>
        </is>
      </c>
      <c r="K1" s="34" t="inlineStr">
        <is>
          <t>Y2 Units</t>
        </is>
      </c>
      <c r="L1" s="34" t="inlineStr">
        <is>
          <t>Y2 Revenue Growth %</t>
        </is>
      </c>
      <c r="M1" s="34" t="inlineStr">
        <is>
          <t>Y2 Revenue ($M)</t>
        </is>
      </c>
      <c r="N1" s="35" t="inlineStr">
        <is>
          <t>Y3 Price Growth %</t>
        </is>
      </c>
      <c r="O1" s="35" t="inlineStr">
        <is>
          <t>Y3 Target Price</t>
        </is>
      </c>
      <c r="P1" s="35" t="inlineStr">
        <is>
          <t>Y3 Unit Growth %</t>
        </is>
      </c>
      <c r="Q1" s="35" t="inlineStr">
        <is>
          <t>Y3 Units</t>
        </is>
      </c>
      <c r="R1" s="35" t="inlineStr">
        <is>
          <t>Y3 Revenue Growth %</t>
        </is>
      </c>
      <c r="S1" s="35" t="inlineStr">
        <is>
          <t>Y3 Revenue ($M)</t>
        </is>
      </c>
      <c r="T1" s="36" t="inlineStr">
        <is>
          <t>Y4 Price Growth %</t>
        </is>
      </c>
      <c r="U1" s="36" t="inlineStr">
        <is>
          <t>Y4 Target Price</t>
        </is>
      </c>
      <c r="V1" s="36" t="inlineStr">
        <is>
          <t>Y4 Unit Growth %</t>
        </is>
      </c>
      <c r="W1" s="36" t="inlineStr">
        <is>
          <t>Y4 Units</t>
        </is>
      </c>
      <c r="X1" s="36" t="inlineStr">
        <is>
          <t>Y4 Revenue Growth %</t>
        </is>
      </c>
      <c r="Y1" s="36" t="inlineStr">
        <is>
          <t>Y4 Revenue ($M)</t>
        </is>
      </c>
      <c r="Z1" s="37" t="inlineStr">
        <is>
          <t>Y5 Price Growth %</t>
        </is>
      </c>
      <c r="AA1" s="37" t="inlineStr">
        <is>
          <t>Y5 Target Price</t>
        </is>
      </c>
      <c r="AB1" s="37" t="inlineStr">
        <is>
          <t>Y5 Unit Growth %</t>
        </is>
      </c>
      <c r="AC1" s="37" t="inlineStr">
        <is>
          <t>Y5 Units</t>
        </is>
      </c>
      <c r="AD1" s="37" t="inlineStr">
        <is>
          <t>Y5 Revenue Growth %</t>
        </is>
      </c>
      <c r="AE1" s="37" t="inlineStr">
        <is>
          <t>Y5 Revenue ($M)</t>
        </is>
      </c>
      <c r="AF1" s="38" t="inlineStr">
        <is>
          <t>5-Year Cumulative Revenue ($M)</t>
        </is>
      </c>
      <c r="AG1" s="32" t="inlineStr">
        <is>
          <t>Quadrant Sort Order</t>
        </is>
      </c>
    </row>
    <row r="2" ht="30" customHeight="1" s="31">
      <c r="A2" s="39" t="inlineStr">
        <is>
          <t>Jump Starter</t>
        </is>
      </c>
      <c r="B2" s="39" t="inlineStr">
        <is>
          <t>Jump Starter (Compact + Full-Size)</t>
        </is>
      </c>
      <c r="C2" s="39" t="inlineStr">
        <is>
          <t>Quick Wins</t>
        </is>
      </c>
      <c r="D2" s="40" t="inlineStr">
        <is>
          <t>Retail placement required</t>
        </is>
      </c>
      <c r="E2" s="41" t="n">
        <v>83</v>
      </c>
      <c r="F2" s="42" t="n">
        <v>50000</v>
      </c>
      <c r="G2" s="43">
        <f>E2*F2/1000000</f>
        <v/>
      </c>
      <c r="H2" s="44" t="n">
        <v>0.0581927710843373</v>
      </c>
      <c r="I2" s="45">
        <f>E2*(1+H2)</f>
        <v/>
      </c>
      <c r="J2" s="44" t="n">
        <v>1.3</v>
      </c>
      <c r="K2" s="46">
        <f>F2*(1+J2)</f>
        <v/>
      </c>
      <c r="L2" s="44">
        <f>M2/G2-1</f>
        <v/>
      </c>
      <c r="M2" s="47">
        <f>I2*K2/1000000</f>
        <v/>
      </c>
      <c r="N2" s="48" t="n">
        <v>0.0366617328930889</v>
      </c>
      <c r="O2" s="49">
        <f>I2*(1+N2)</f>
        <v/>
      </c>
      <c r="P2" s="48" t="n">
        <v>0.652173913043478</v>
      </c>
      <c r="Q2" s="50">
        <f>K2*(1+P2)</f>
        <v/>
      </c>
      <c r="R2" s="48">
        <f>S2/M2-1</f>
        <v/>
      </c>
      <c r="S2" s="51">
        <f>O2*Q2/1000000</f>
        <v/>
      </c>
      <c r="T2" s="52" t="n">
        <v>0</v>
      </c>
      <c r="U2" s="53">
        <f>O2*(1+T2)</f>
        <v/>
      </c>
      <c r="V2" s="52" t="n">
        <v>0.35</v>
      </c>
      <c r="W2" s="54">
        <f>Q2*(1+V2)</f>
        <v/>
      </c>
      <c r="X2" s="52">
        <f>Y2/S2-1</f>
        <v/>
      </c>
      <c r="Y2" s="55">
        <f>U2*W2/1000000</f>
        <v/>
      </c>
      <c r="Z2" s="56" t="n">
        <v>0</v>
      </c>
      <c r="AA2" s="57">
        <f>U2*(1+Z2)</f>
        <v/>
      </c>
      <c r="AB2" s="56" t="n">
        <v>0.222222222222222</v>
      </c>
      <c r="AC2" s="58">
        <f>W2*(1+AB2)</f>
        <v/>
      </c>
      <c r="AD2" s="56">
        <f>AE2/Y2-1</f>
        <v/>
      </c>
      <c r="AE2" s="59">
        <f>AA2*AC2/1000000</f>
        <v/>
      </c>
      <c r="AF2" s="60">
        <f>SUM(G2,M2,S2,Y2,AE2)</f>
        <v/>
      </c>
      <c r="AG2" s="39" t="n">
        <v>1</v>
      </c>
    </row>
    <row r="3" ht="30" customHeight="1" s="31">
      <c r="A3" s="39" t="inlineStr">
        <is>
          <t>Articulating Borescope (Screen-Based)</t>
        </is>
      </c>
      <c r="B3" s="39" t="inlineStr">
        <is>
          <t>Borescope Screen-Based</t>
        </is>
      </c>
      <c r="C3" s="39" t="inlineStr">
        <is>
          <t>Quick Wins</t>
        </is>
      </c>
      <c r="D3" s="40" t="inlineStr">
        <is>
          <t>Retail placement required</t>
        </is>
      </c>
      <c r="E3" s="41" t="n">
        <v>139.19</v>
      </c>
      <c r="F3" s="42" t="n">
        <v>27300</v>
      </c>
      <c r="G3" s="43">
        <f>E3*F3/1000000</f>
        <v/>
      </c>
      <c r="H3" s="44" t="n">
        <v>-0.000574753933472172</v>
      </c>
      <c r="I3" s="45">
        <f>E3*(1+H3)</f>
        <v/>
      </c>
      <c r="J3" s="44" t="n">
        <v>0.732600732600733</v>
      </c>
      <c r="K3" s="46">
        <f>F3*(1+J3)</f>
        <v/>
      </c>
      <c r="L3" s="44">
        <f>M3/G3-1</f>
        <v/>
      </c>
      <c r="M3" s="47">
        <f>I3*K3/1000000</f>
        <v/>
      </c>
      <c r="N3" s="48" t="n">
        <v>0.0305513622313278</v>
      </c>
      <c r="O3" s="49">
        <f>I3*(1+N3)</f>
        <v/>
      </c>
      <c r="P3" s="48" t="n">
        <v>0.560253699788583</v>
      </c>
      <c r="Q3" s="50">
        <f>K3*(1+P3)</f>
        <v/>
      </c>
      <c r="R3" s="48">
        <f>S3/M3-1</f>
        <v/>
      </c>
      <c r="S3" s="51">
        <f>O3*Q3/1000000</f>
        <v/>
      </c>
      <c r="T3" s="52" t="n">
        <v>6.97544642855874e-05</v>
      </c>
      <c r="U3" s="53">
        <f>O3*(1+T3)</f>
        <v/>
      </c>
      <c r="V3" s="52" t="n">
        <v>0.349593495934959</v>
      </c>
      <c r="W3" s="54">
        <f>Q3*(1+V3)</f>
        <v/>
      </c>
      <c r="X3" s="52">
        <f>Y3/S3-1</f>
        <v/>
      </c>
      <c r="Y3" s="55">
        <f>U3*W3/1000000</f>
        <v/>
      </c>
      <c r="Z3" s="56" t="n">
        <v>-0.000209248796819384</v>
      </c>
      <c r="AA3" s="57">
        <f>U3*(1+Z3)</f>
        <v/>
      </c>
      <c r="AB3" s="56" t="n">
        <v>0.22289156626506</v>
      </c>
      <c r="AC3" s="58">
        <f>W3*(1+AB3)</f>
        <v/>
      </c>
      <c r="AD3" s="56">
        <f>AE3/Y3-1</f>
        <v/>
      </c>
      <c r="AE3" s="59">
        <f>AA3*AC3/1000000</f>
        <v/>
      </c>
      <c r="AF3" s="60">
        <f>SUM(G3,M3,S3,Y3,AE3)</f>
        <v/>
      </c>
      <c r="AG3" s="39" t="n">
        <v>1</v>
      </c>
    </row>
    <row r="4" ht="30" customHeight="1" s="31">
      <c r="A4" s="39" t="inlineStr">
        <is>
          <t>Digital Multimeter (DMM)</t>
        </is>
      </c>
      <c r="B4" s="39" t="inlineStr">
        <is>
          <t>DMM Core (3320 + 3340 + AutoZone 3-SKU)</t>
        </is>
      </c>
      <c r="C4" s="39" t="inlineStr">
        <is>
          <t>Quick Wins</t>
        </is>
      </c>
      <c r="D4" s="40" t="inlineStr">
        <is>
          <t>Core refresh</t>
        </is>
      </c>
      <c r="E4" s="41" t="n">
        <v>64</v>
      </c>
      <c r="F4" s="42" t="n">
        <v>62500</v>
      </c>
      <c r="G4" s="43">
        <f>E4*F4/1000000</f>
        <v/>
      </c>
      <c r="H4" s="44" t="n">
        <v>0.014375</v>
      </c>
      <c r="I4" s="45">
        <f>E4*(1+H4)</f>
        <v/>
      </c>
      <c r="J4" s="44" t="n">
        <v>0.0351999999999999</v>
      </c>
      <c r="K4" s="46">
        <f>F4*(1+J4)</f>
        <v/>
      </c>
      <c r="L4" s="44">
        <f>M4/G4-1</f>
        <v/>
      </c>
      <c r="M4" s="47">
        <f>I4*K4/1000000</f>
        <v/>
      </c>
      <c r="N4" s="48" t="n">
        <v>0.008934072704867461</v>
      </c>
      <c r="O4" s="49">
        <f>I4*(1+N4)</f>
        <v/>
      </c>
      <c r="P4" s="48" t="n">
        <v>0.0618238021638331</v>
      </c>
      <c r="Q4" s="50">
        <f>K4*(1+P4)</f>
        <v/>
      </c>
      <c r="R4" s="48">
        <f>S4/M4-1</f>
        <v/>
      </c>
      <c r="S4" s="51">
        <f>O4*Q4/1000000</f>
        <v/>
      </c>
      <c r="T4" s="52" t="n">
        <v>0.00106870229007616</v>
      </c>
      <c r="U4" s="53">
        <f>O4*(1+T4)</f>
        <v/>
      </c>
      <c r="V4" s="52" t="n">
        <v>0.149927219796215</v>
      </c>
      <c r="W4" s="54">
        <f>Q4*(1+V4)</f>
        <v/>
      </c>
      <c r="X4" s="52">
        <f>Y4/S4-1</f>
        <v/>
      </c>
      <c r="Y4" s="55">
        <f>U4*W4/1000000</f>
        <v/>
      </c>
      <c r="Z4" s="56" t="n">
        <v>-0.000457526307762524</v>
      </c>
      <c r="AA4" s="57">
        <f>U4*(1+Z4)</f>
        <v/>
      </c>
      <c r="AB4" s="56" t="n">
        <v>0.0873417721518988</v>
      </c>
      <c r="AC4" s="58">
        <f>W4*(1+AB4)</f>
        <v/>
      </c>
      <c r="AD4" s="56">
        <f>AE4/Y4-1</f>
        <v/>
      </c>
      <c r="AE4" s="59">
        <f>AA4*AC4/1000000</f>
        <v/>
      </c>
      <c r="AF4" s="60">
        <f>SUM(G4,M4,S4,Y4,AE4)</f>
        <v/>
      </c>
      <c r="AG4" s="39" t="n">
        <v>1</v>
      </c>
    </row>
    <row r="5" ht="30" customHeight="1" s="31">
      <c r="A5" s="39" t="inlineStr">
        <is>
          <t>Thermal / Night Vision Monocular</t>
        </is>
      </c>
      <c r="B5" s="39" t="inlineStr">
        <is>
          <t>Thermal / NV Monocular (Std + Premium SKUs)</t>
        </is>
      </c>
      <c r="C5" s="39" t="inlineStr">
        <is>
          <t>Defensive Plays</t>
        </is>
      </c>
      <c r="D5" s="40" t="inlineStr">
        <is>
          <t>Retail placement required</t>
        </is>
      </c>
      <c r="E5" s="41" t="n">
        <v>872</v>
      </c>
      <c r="F5" s="42" t="n">
        <v>2500</v>
      </c>
      <c r="G5" s="43">
        <f>E5*F5/1000000</f>
        <v/>
      </c>
      <c r="H5" s="44" t="n">
        <v>0.000837155963302694</v>
      </c>
      <c r="I5" s="45">
        <f>E5*(1+H5)</f>
        <v/>
      </c>
      <c r="J5" s="44" t="n">
        <v>1.2</v>
      </c>
      <c r="K5" s="46">
        <f>F5*(1+J5)</f>
        <v/>
      </c>
      <c r="L5" s="44">
        <f>M5/G5-1</f>
        <v/>
      </c>
      <c r="M5" s="47">
        <f>I5*K5/1000000</f>
        <v/>
      </c>
      <c r="N5" s="48" t="n">
        <v>0.000687497851569185</v>
      </c>
      <c r="O5" s="49">
        <f>I5*(1+N5)</f>
        <v/>
      </c>
      <c r="P5" s="48" t="n">
        <v>0.0909090909090908</v>
      </c>
      <c r="Q5" s="50">
        <f>K5*(1+P5)</f>
        <v/>
      </c>
      <c r="R5" s="48">
        <f>S5/M5-1</f>
        <v/>
      </c>
      <c r="S5" s="51">
        <f>O5*Q5/1000000</f>
        <v/>
      </c>
      <c r="T5" s="52" t="n">
        <v>0</v>
      </c>
      <c r="U5" s="53">
        <f>O5*(1+T5)</f>
        <v/>
      </c>
      <c r="V5" s="52" t="n">
        <v>0.25</v>
      </c>
      <c r="W5" s="54">
        <f>Q5*(1+V5)</f>
        <v/>
      </c>
      <c r="X5" s="52">
        <f>Y5/S5-1</f>
        <v/>
      </c>
      <c r="Y5" s="55">
        <f>U5*W5/1000000</f>
        <v/>
      </c>
      <c r="Z5" s="56" t="n">
        <v>0.000263359783815753</v>
      </c>
      <c r="AA5" s="57">
        <f>U5*(1+Z5)</f>
        <v/>
      </c>
      <c r="AB5" s="56" t="n">
        <v>0.16</v>
      </c>
      <c r="AC5" s="58">
        <f>W5*(1+AB5)</f>
        <v/>
      </c>
      <c r="AD5" s="56">
        <f>AE5/Y5-1</f>
        <v/>
      </c>
      <c r="AE5" s="59">
        <f>AA5*AC5/1000000</f>
        <v/>
      </c>
      <c r="AF5" s="60">
        <f>SUM(G5,M5,S5,Y5,AE5)</f>
        <v/>
      </c>
      <c r="AG5" s="39" t="n">
        <v>2</v>
      </c>
    </row>
    <row r="6" ht="30" customHeight="1" s="31">
      <c r="A6" s="39" t="inlineStr">
        <is>
          <t>LED Light Bar (MODU-LIGHT PRO)</t>
        </is>
      </c>
      <c r="B6" s="39" t="inlineStr">
        <is>
          <t>MODU-LIGHT PRO + accessories</t>
        </is>
      </c>
      <c r="C6" s="39" t="inlineStr">
        <is>
          <t>Defensive Plays</t>
        </is>
      </c>
      <c r="D6" s="40" t="inlineStr">
        <is>
          <t>Retail placement required</t>
        </is>
      </c>
      <c r="E6" s="41" t="n">
        <v>83.33</v>
      </c>
      <c r="F6" s="42" t="n">
        <v>18000</v>
      </c>
      <c r="G6" s="43">
        <f>E6*F6/1000000</f>
        <v/>
      </c>
      <c r="H6" s="44" t="n">
        <v>-0.016920676827073</v>
      </c>
      <c r="I6" s="45">
        <f>E6*(1+H6)</f>
        <v/>
      </c>
      <c r="J6" s="44" t="n">
        <v>0.966666666666667</v>
      </c>
      <c r="K6" s="46">
        <f>F6*(1+J6)</f>
        <v/>
      </c>
      <c r="L6" s="44">
        <f>M6/G6-1</f>
        <v/>
      </c>
      <c r="M6" s="47">
        <f>I6*K6/1000000</f>
        <v/>
      </c>
      <c r="N6" s="48" t="n">
        <v>0.0023193359375</v>
      </c>
      <c r="O6" s="49">
        <f>I6*(1+N6)</f>
        <v/>
      </c>
      <c r="P6" s="48" t="n">
        <v>0.34180790960452</v>
      </c>
      <c r="Q6" s="50">
        <f>K6*(1+P6)</f>
        <v/>
      </c>
      <c r="R6" s="48">
        <f>S6/M6-1</f>
        <v/>
      </c>
      <c r="S6" s="51">
        <f>O6*Q6/1000000</f>
        <v/>
      </c>
      <c r="T6" s="52" t="n">
        <v>0</v>
      </c>
      <c r="U6" s="53">
        <f>O6*(1+T6)</f>
        <v/>
      </c>
      <c r="V6" s="52" t="n">
        <v>0.3</v>
      </c>
      <c r="W6" s="54">
        <f>Q6*(1+V6)</f>
        <v/>
      </c>
      <c r="X6" s="52">
        <f>Y6/S6-1</f>
        <v/>
      </c>
      <c r="Y6" s="55">
        <f>U6*W6/1000000</f>
        <v/>
      </c>
      <c r="Z6" s="56" t="n">
        <v>-0.00012178784557304</v>
      </c>
      <c r="AA6" s="57">
        <f>U6*(1+Z6)</f>
        <v/>
      </c>
      <c r="AB6" s="56" t="n">
        <v>0.193522267206478</v>
      </c>
      <c r="AC6" s="58">
        <f>W6*(1+AB6)</f>
        <v/>
      </c>
      <c r="AD6" s="56">
        <f>AE6/Y6-1</f>
        <v/>
      </c>
      <c r="AE6" s="59">
        <f>AA6*AC6/1000000</f>
        <v/>
      </c>
      <c r="AF6" s="60">
        <f>SUM(G6,M6,S6,Y6,AE6)</f>
        <v/>
      </c>
      <c r="AG6" s="39" t="n">
        <v>2</v>
      </c>
    </row>
    <row r="7" ht="30" customHeight="1" s="31">
      <c r="A7" s="39" t="inlineStr">
        <is>
          <t>Mechanic Stool</t>
        </is>
      </c>
      <c r="B7" s="39" t="inlineStr">
        <is>
          <t>Mechanic Stool (Standard + Premium)</t>
        </is>
      </c>
      <c r="C7" s="39" t="inlineStr">
        <is>
          <t>Defensive Plays</t>
        </is>
      </c>
      <c r="D7" s="40" t="inlineStr">
        <is>
          <t>Retail placement required</t>
        </is>
      </c>
      <c r="E7" s="41" t="n">
        <v>108.89</v>
      </c>
      <c r="F7" s="42" t="n">
        <v>9000</v>
      </c>
      <c r="G7" s="43">
        <f>E7*F7/1000000</f>
        <v/>
      </c>
      <c r="H7" s="44" t="n">
        <v>0.0198365322802829</v>
      </c>
      <c r="I7" s="45">
        <f>E7*(1+H7)</f>
        <v/>
      </c>
      <c r="J7" s="44" t="n">
        <v>1.11111111111111</v>
      </c>
      <c r="K7" s="46">
        <f>F7*(1+J7)</f>
        <v/>
      </c>
      <c r="L7" s="44">
        <f>M7/G7-1</f>
        <v/>
      </c>
      <c r="M7" s="47">
        <f>I7*K7/1000000</f>
        <v/>
      </c>
      <c r="N7" s="48" t="n">
        <v>0.0249437190454749</v>
      </c>
      <c r="O7" s="49">
        <f>I7*(1+N7)</f>
        <v/>
      </c>
      <c r="P7" s="48" t="n">
        <v>0.789473684210526</v>
      </c>
      <c r="Q7" s="50">
        <f>K7*(1+P7)</f>
        <v/>
      </c>
      <c r="R7" s="48">
        <f>S7/M7-1</f>
        <v/>
      </c>
      <c r="S7" s="51">
        <f>O7*Q7/1000000</f>
        <v/>
      </c>
      <c r="T7" s="52" t="n">
        <v>0</v>
      </c>
      <c r="U7" s="53">
        <f>O7*(1+T7)</f>
        <v/>
      </c>
      <c r="V7" s="52" t="n">
        <v>0.2</v>
      </c>
      <c r="W7" s="54">
        <f>Q7*(1+V7)</f>
        <v/>
      </c>
      <c r="X7" s="52">
        <f>Y7/S7-1</f>
        <v/>
      </c>
      <c r="Y7" s="55">
        <f>U7*W7/1000000</f>
        <v/>
      </c>
      <c r="Z7" s="56" t="n">
        <v>0</v>
      </c>
      <c r="AA7" s="57">
        <f>U7*(1+Z7)</f>
        <v/>
      </c>
      <c r="AB7" s="56" t="n">
        <v>0.166666666666667</v>
      </c>
      <c r="AC7" s="58">
        <f>W7*(1+AB7)</f>
        <v/>
      </c>
      <c r="AD7" s="56">
        <f>AE7/Y7-1</f>
        <v/>
      </c>
      <c r="AE7" s="59">
        <f>AA7*AC7/1000000</f>
        <v/>
      </c>
      <c r="AF7" s="60">
        <f>SUM(G7,M7,S7,Y7,AE7)</f>
        <v/>
      </c>
      <c r="AG7" s="39" t="n">
        <v>2</v>
      </c>
    </row>
    <row r="8" ht="30" customHeight="1" s="31">
      <c r="A8" s="39" t="inlineStr">
        <is>
          <t>Oil Extractor Tool</t>
        </is>
      </c>
      <c r="B8" s="39" t="inlineStr">
        <is>
          <t>Oil Extractor (Auto + Manual)</t>
        </is>
      </c>
      <c r="C8" s="39" t="inlineStr">
        <is>
          <t>Defensive Plays</t>
        </is>
      </c>
      <c r="D8" s="40" t="inlineStr">
        <is>
          <t>Base case</t>
        </is>
      </c>
      <c r="E8" s="41" t="n">
        <v>68.33</v>
      </c>
      <c r="F8" s="42" t="n">
        <v>12000</v>
      </c>
      <c r="G8" s="43">
        <f>E8*F8/1000000</f>
        <v/>
      </c>
      <c r="H8" s="44" t="n">
        <v>0.58890677594029</v>
      </c>
      <c r="I8" s="45">
        <f>E8*(1+H8)</f>
        <v/>
      </c>
      <c r="J8" s="44" t="n">
        <v>0.458333333333333</v>
      </c>
      <c r="K8" s="46">
        <f>F8*(1+J8)</f>
        <v/>
      </c>
      <c r="L8" s="44">
        <f>M8/G8-1</f>
        <v/>
      </c>
      <c r="M8" s="47">
        <f>I8*K8/1000000</f>
        <v/>
      </c>
      <c r="N8" s="48" t="n">
        <v>0.73547020355531</v>
      </c>
      <c r="O8" s="49">
        <f>I8*(1+N8)</f>
        <v/>
      </c>
      <c r="P8" s="48" t="n">
        <v>0.0857142857142856</v>
      </c>
      <c r="Q8" s="50">
        <f>K8*(1+P8)</f>
        <v/>
      </c>
      <c r="R8" s="48">
        <f>S8/M8-1</f>
        <v/>
      </c>
      <c r="S8" s="51">
        <f>O8*Q8/1000000</f>
        <v/>
      </c>
      <c r="T8" s="52" t="n">
        <v>0</v>
      </c>
      <c r="U8" s="53">
        <f>O8*(1+T8)</f>
        <v/>
      </c>
      <c r="V8" s="52" t="n">
        <v>0.25</v>
      </c>
      <c r="W8" s="54">
        <f>Q8*(1+V8)</f>
        <v/>
      </c>
      <c r="X8" s="52">
        <f>Y8/S8-1</f>
        <v/>
      </c>
      <c r="Y8" s="55">
        <f>U8*W8/1000000</f>
        <v/>
      </c>
      <c r="Z8" s="56" t="n">
        <v>5.3072922195252e-05</v>
      </c>
      <c r="AA8" s="57">
        <f>U8*(1+Z8)</f>
        <v/>
      </c>
      <c r="AB8" s="56" t="n">
        <v>0.16</v>
      </c>
      <c r="AC8" s="58">
        <f>W8*(1+AB8)</f>
        <v/>
      </c>
      <c r="AD8" s="56">
        <f>AE8/Y8-1</f>
        <v/>
      </c>
      <c r="AE8" s="59">
        <f>AA8*AC8/1000000</f>
        <v/>
      </c>
      <c r="AF8" s="60">
        <f>SUM(G8,M8,S8,Y8,AE8)</f>
        <v/>
      </c>
      <c r="AG8" s="39" t="n">
        <v>2</v>
      </c>
    </row>
    <row r="9" ht="30" customHeight="1" s="31">
      <c r="A9" s="39" t="inlineStr">
        <is>
          <t>Digital Gauge</t>
        </is>
      </c>
      <c r="B9" s="39" t="inlineStr">
        <is>
          <t>Digital Gauge (single SKU)</t>
        </is>
      </c>
      <c r="C9" s="39" t="inlineStr">
        <is>
          <t>Defensive Plays</t>
        </is>
      </c>
      <c r="D9" s="40" t="inlineStr">
        <is>
          <t>Base case</t>
        </is>
      </c>
      <c r="E9" s="41" t="n">
        <v>187.5</v>
      </c>
      <c r="F9" s="42" t="n">
        <v>2400</v>
      </c>
      <c r="G9" s="43">
        <f>E9*F9/1000000</f>
        <v/>
      </c>
      <c r="H9" s="44" t="n">
        <v>-0.00853333333333328</v>
      </c>
      <c r="I9" s="45">
        <f>E9*(1+H9)</f>
        <v/>
      </c>
      <c r="J9" s="44" t="n">
        <v>2.25</v>
      </c>
      <c r="K9" s="46">
        <f>F9*(1+J9)</f>
        <v/>
      </c>
      <c r="L9" s="44">
        <f>M9/G9-1</f>
        <v/>
      </c>
      <c r="M9" s="47">
        <f>I9*K9/1000000</f>
        <v/>
      </c>
      <c r="N9" s="48" t="n">
        <v>-0.00252824098977944</v>
      </c>
      <c r="O9" s="49">
        <f>I9*(1+N9)</f>
        <v/>
      </c>
      <c r="P9" s="48" t="n">
        <v>0.935897435897436</v>
      </c>
      <c r="Q9" s="50">
        <f>K9*(1+P9)</f>
        <v/>
      </c>
      <c r="R9" s="48">
        <f>S9/M9-1</f>
        <v/>
      </c>
      <c r="S9" s="51">
        <f>O9*Q9/1000000</f>
        <v/>
      </c>
      <c r="T9" s="52" t="n">
        <v>-0.00129428895000816</v>
      </c>
      <c r="U9" s="53">
        <f>O9*(1+T9)</f>
        <v/>
      </c>
      <c r="V9" s="52" t="n">
        <v>0.251655629139073</v>
      </c>
      <c r="W9" s="54">
        <f>Q9*(1+V9)</f>
        <v/>
      </c>
      <c r="X9" s="52">
        <f>Y9/S9-1</f>
        <v/>
      </c>
      <c r="Y9" s="55">
        <f>U9*W9/1000000</f>
        <v/>
      </c>
      <c r="Z9" s="56" t="n">
        <v>-0.00118796911280306</v>
      </c>
      <c r="AA9" s="57">
        <f>U9*(1+Z9)</f>
        <v/>
      </c>
      <c r="AB9" s="56" t="n">
        <v>0.161375661375661</v>
      </c>
      <c r="AC9" s="58">
        <f>W9*(1+AB9)</f>
        <v/>
      </c>
      <c r="AD9" s="56">
        <f>AE9/Y9-1</f>
        <v/>
      </c>
      <c r="AE9" s="59">
        <f>AA9*AC9/1000000</f>
        <v/>
      </c>
      <c r="AF9" s="60">
        <f>SUM(G9,M9,S9,Y9,AE9)</f>
        <v/>
      </c>
      <c r="AG9" s="39" t="n">
        <v>2</v>
      </c>
    </row>
    <row r="10" ht="30" customHeight="1" s="31">
      <c r="A10" s="39" t="inlineStr">
        <is>
          <t>Leak Detector Sniffer</t>
        </is>
      </c>
      <c r="B10" s="39" t="inlineStr">
        <is>
          <t>Leak Detector Sniffer (single dual-mode SKU)</t>
        </is>
      </c>
      <c r="C10" s="39" t="inlineStr">
        <is>
          <t>Defensive Plays</t>
        </is>
      </c>
      <c r="D10" s="40" t="inlineStr">
        <is>
          <t>Retail placement required</t>
        </is>
      </c>
      <c r="E10" s="41" t="n">
        <v>162.12</v>
      </c>
      <c r="F10" s="42" t="n">
        <v>3300</v>
      </c>
      <c r="G10" s="43">
        <f>E10*F10/1000000</f>
        <v/>
      </c>
      <c r="H10" s="44" t="n">
        <v>0.0533555391068346</v>
      </c>
      <c r="I10" s="45">
        <f>E10*(1+H10)</f>
        <v/>
      </c>
      <c r="J10" s="44" t="n">
        <v>0.9696969696969699</v>
      </c>
      <c r="K10" s="46">
        <f>F10*(1+J10)</f>
        <v/>
      </c>
      <c r="L10" s="44">
        <f>M10/G10-1</f>
        <v/>
      </c>
      <c r="M10" s="47">
        <f>I10*K10/1000000</f>
        <v/>
      </c>
      <c r="N10" s="48" t="n">
        <v>0.0979680271710488</v>
      </c>
      <c r="O10" s="49">
        <f>I10*(1+N10)</f>
        <v/>
      </c>
      <c r="P10" s="48" t="n">
        <v>0.723076923076923</v>
      </c>
      <c r="Q10" s="50">
        <f>K10*(1+P10)</f>
        <v/>
      </c>
      <c r="R10" s="48">
        <f>S10/M10-1</f>
        <v/>
      </c>
      <c r="S10" s="51">
        <f>O10*Q10/1000000</f>
        <v/>
      </c>
      <c r="T10" s="52" t="n">
        <v>0</v>
      </c>
      <c r="U10" s="53">
        <f>O10*(1+T10)</f>
        <v/>
      </c>
      <c r="V10" s="52" t="n">
        <v>0.2</v>
      </c>
      <c r="W10" s="54">
        <f>Q10*(1+V10)</f>
        <v/>
      </c>
      <c r="X10" s="52">
        <f>Y10/S10-1</f>
        <v/>
      </c>
      <c r="Y10" s="55">
        <f>U10*W10/1000000</f>
        <v/>
      </c>
      <c r="Z10" s="56" t="n">
        <v>0</v>
      </c>
      <c r="AA10" s="57">
        <f>U10*(1+Z10)</f>
        <v/>
      </c>
      <c r="AB10" s="56" t="n">
        <v>0.125</v>
      </c>
      <c r="AC10" s="58">
        <f>W10*(1+AB10)</f>
        <v/>
      </c>
      <c r="AD10" s="56">
        <f>AE10/Y10-1</f>
        <v/>
      </c>
      <c r="AE10" s="59">
        <f>AA10*AC10/1000000</f>
        <v/>
      </c>
      <c r="AF10" s="60">
        <f>SUM(G10,M10,S10,Y10,AE10)</f>
        <v/>
      </c>
      <c r="AG10" s="39" t="n">
        <v>2</v>
      </c>
    </row>
    <row r="11" ht="30" customHeight="1" s="31">
      <c r="A11" s="39" t="inlineStr">
        <is>
          <t>Battery Monitor</t>
        </is>
      </c>
      <c r="B11" s="39" t="inlineStr">
        <is>
          <t>Battery Monitor (Classic + Character)</t>
        </is>
      </c>
      <c r="C11" s="39" t="inlineStr">
        <is>
          <t>Defensive Plays</t>
        </is>
      </c>
      <c r="D11" s="40" t="inlineStr">
        <is>
          <t>Core refresh</t>
        </is>
      </c>
      <c r="E11" s="41" t="n">
        <v>22.19</v>
      </c>
      <c r="F11" s="42" t="n">
        <v>32000</v>
      </c>
      <c r="G11" s="43">
        <f>E11*F11/1000000</f>
        <v/>
      </c>
      <c r="H11" s="44" t="n">
        <v>0.00630914826498419</v>
      </c>
      <c r="I11" s="45">
        <f>E11*(1+H11)</f>
        <v/>
      </c>
      <c r="J11" s="44" t="n">
        <v>0.875</v>
      </c>
      <c r="K11" s="46">
        <f>F11*(1+J11)</f>
        <v/>
      </c>
      <c r="L11" s="44">
        <f>M11/G11-1</f>
        <v/>
      </c>
      <c r="M11" s="47">
        <f>I11*K11/1000000</f>
        <v/>
      </c>
      <c r="N11" s="48" t="n">
        <v>0</v>
      </c>
      <c r="O11" s="49">
        <f>I11*(1+N11)</f>
        <v/>
      </c>
      <c r="P11" s="48" t="n">
        <v>0.5</v>
      </c>
      <c r="Q11" s="50">
        <f>K11*(1+P11)</f>
        <v/>
      </c>
      <c r="R11" s="48">
        <f>S11/M11-1</f>
        <v/>
      </c>
      <c r="S11" s="51">
        <f>O11*Q11/1000000</f>
        <v/>
      </c>
      <c r="T11" s="52" t="n">
        <v>0</v>
      </c>
      <c r="U11" s="53">
        <f>O11*(1+T11)</f>
        <v/>
      </c>
      <c r="V11" s="52" t="n">
        <v>0.1</v>
      </c>
      <c r="W11" s="54">
        <f>Q11*(1+V11)</f>
        <v/>
      </c>
      <c r="X11" s="52">
        <f>Y11/S11-1</f>
        <v/>
      </c>
      <c r="Y11" s="55">
        <f>U11*W11/1000000</f>
        <v/>
      </c>
      <c r="Z11" s="56" t="n">
        <v>0</v>
      </c>
      <c r="AA11" s="57">
        <f>U11*(1+Z11)</f>
        <v/>
      </c>
      <c r="AB11" s="56" t="n">
        <v>0.0909090909090908</v>
      </c>
      <c r="AC11" s="58">
        <f>W11*(1+AB11)</f>
        <v/>
      </c>
      <c r="AD11" s="56">
        <f>AE11/Y11-1</f>
        <v/>
      </c>
      <c r="AE11" s="59">
        <f>AA11*AC11/1000000</f>
        <v/>
      </c>
      <c r="AF11" s="60">
        <f>SUM(G11,M11,S11,Y11,AE11)</f>
        <v/>
      </c>
      <c r="AG11" s="39" t="n">
        <v>2</v>
      </c>
    </row>
    <row r="12" ht="30" customHeight="1" s="31">
      <c r="A12" s="39" t="inlineStr">
        <is>
          <t>Tool Backpack</t>
        </is>
      </c>
      <c r="B12" s="39" t="inlineStr">
        <is>
          <t>Tool Backpack (base case)</t>
        </is>
      </c>
      <c r="C12" s="39" t="inlineStr">
        <is>
          <t>Defensive Plays</t>
        </is>
      </c>
      <c r="D12" s="40" t="inlineStr">
        <is>
          <t>Validation-only</t>
        </is>
      </c>
      <c r="E12" s="41" t="n">
        <v>260</v>
      </c>
      <c r="F12" s="42" t="n">
        <v>1440</v>
      </c>
      <c r="G12" s="43">
        <f>E12*F12/1000000</f>
        <v/>
      </c>
      <c r="H12" s="44" t="n">
        <v>0</v>
      </c>
      <c r="I12" s="45">
        <f>E12*(1+H12)</f>
        <v/>
      </c>
      <c r="J12" s="44" t="n">
        <v>0.833333333333333</v>
      </c>
      <c r="K12" s="46">
        <f>F12*(1+J12)</f>
        <v/>
      </c>
      <c r="L12" s="44">
        <f>M12/G12-1</f>
        <v/>
      </c>
      <c r="M12" s="47">
        <f>I12*K12/1000000</f>
        <v/>
      </c>
      <c r="N12" s="48" t="n">
        <v>0</v>
      </c>
      <c r="O12" s="49">
        <f>I12*(1+N12)</f>
        <v/>
      </c>
      <c r="P12" s="48" t="n">
        <v>0.5</v>
      </c>
      <c r="Q12" s="50">
        <f>K12*(1+P12)</f>
        <v/>
      </c>
      <c r="R12" s="48">
        <f>S12/M12-1</f>
        <v/>
      </c>
      <c r="S12" s="51">
        <f>O12*Q12/1000000</f>
        <v/>
      </c>
      <c r="T12" s="52" t="n">
        <v>0</v>
      </c>
      <c r="U12" s="53">
        <f>O12*(1+T12)</f>
        <v/>
      </c>
      <c r="V12" s="52" t="n">
        <v>0.0984848484848484</v>
      </c>
      <c r="W12" s="54">
        <f>Q12*(1+V12)</f>
        <v/>
      </c>
      <c r="X12" s="52">
        <f>Y12/S12-1</f>
        <v/>
      </c>
      <c r="Y12" s="55">
        <f>U12*W12/1000000</f>
        <v/>
      </c>
      <c r="Z12" s="56" t="n">
        <v>0</v>
      </c>
      <c r="AA12" s="57">
        <f>U12*(1+Z12)</f>
        <v/>
      </c>
      <c r="AB12" s="56" t="n">
        <v>0.0919540229885059</v>
      </c>
      <c r="AC12" s="58">
        <f>W12*(1+AB12)</f>
        <v/>
      </c>
      <c r="AD12" s="56">
        <f>AE12/Y12-1</f>
        <v/>
      </c>
      <c r="AE12" s="59">
        <f>AA12*AC12/1000000</f>
        <v/>
      </c>
      <c r="AF12" s="60">
        <f>SUM(G12,M12,S12,Y12,AE12)</f>
        <v/>
      </c>
      <c r="AG12" s="39" t="n">
        <v>2</v>
      </c>
    </row>
    <row r="13" ht="30" customHeight="1" s="31">
      <c r="A13" s="39" t="inlineStr">
        <is>
          <t>Emergency Kit</t>
        </is>
      </c>
      <c r="B13" s="39" t="inlineStr">
        <is>
          <t>Emergency Kit (combined SKUs)</t>
        </is>
      </c>
      <c r="C13" s="39" t="inlineStr">
        <is>
          <t>Big Bets</t>
        </is>
      </c>
      <c r="D13" s="40" t="inlineStr">
        <is>
          <t>Partnership gated</t>
        </is>
      </c>
      <c r="E13" s="41" t="n">
        <v>175</v>
      </c>
      <c r="F13" s="42" t="n">
        <v>40000</v>
      </c>
      <c r="G13" s="43">
        <f>E13*F13/1000000</f>
        <v/>
      </c>
      <c r="H13" s="44" t="n">
        <v>0.0476000000000001</v>
      </c>
      <c r="I13" s="45">
        <f>E13*(1+H13)</f>
        <v/>
      </c>
      <c r="J13" s="44" t="n">
        <v>1.25</v>
      </c>
      <c r="K13" s="46">
        <f>F13*(1+J13)</f>
        <v/>
      </c>
      <c r="L13" s="44">
        <f>M13/G13-1</f>
        <v/>
      </c>
      <c r="M13" s="47">
        <f>I13*K13/1000000</f>
        <v/>
      </c>
      <c r="N13" s="48" t="n">
        <v>0.0193639884361534</v>
      </c>
      <c r="O13" s="49">
        <f>I13*(1+N13)</f>
        <v/>
      </c>
      <c r="P13" s="48" t="n">
        <v>0.777777777777778</v>
      </c>
      <c r="Q13" s="50">
        <f>K13*(1+P13)</f>
        <v/>
      </c>
      <c r="R13" s="48">
        <f>S13/M13-1</f>
        <v/>
      </c>
      <c r="S13" s="51">
        <f>O13*Q13/1000000</f>
        <v/>
      </c>
      <c r="T13" s="52" t="n">
        <v>0</v>
      </c>
      <c r="U13" s="53">
        <f>O13*(1+T13)</f>
        <v/>
      </c>
      <c r="V13" s="52" t="n">
        <v>0.4</v>
      </c>
      <c r="W13" s="54">
        <f>Q13*(1+V13)</f>
        <v/>
      </c>
      <c r="X13" s="52">
        <f>Y13/S13-1</f>
        <v/>
      </c>
      <c r="Y13" s="55">
        <f>U13*W13/1000000</f>
        <v/>
      </c>
      <c r="Z13" s="56" t="n">
        <v>0</v>
      </c>
      <c r="AA13" s="57">
        <f>U13*(1+Z13)</f>
        <v/>
      </c>
      <c r="AB13" s="56" t="n">
        <v>0.214285714285714</v>
      </c>
      <c r="AC13" s="58">
        <f>W13*(1+AB13)</f>
        <v/>
      </c>
      <c r="AD13" s="56">
        <f>AE13/Y13-1</f>
        <v/>
      </c>
      <c r="AE13" s="59">
        <f>AA13*AC13/1000000</f>
        <v/>
      </c>
      <c r="AF13" s="60">
        <f>SUM(G13,M13,S13,Y13,AE13)</f>
        <v/>
      </c>
      <c r="AG13" s="39" t="n">
        <v>3</v>
      </c>
    </row>
    <row r="14" ht="30" customHeight="1" s="31">
      <c r="A14" s="39" t="inlineStr">
        <is>
          <t>Magnetic Silicone Fender Tool Roll</t>
        </is>
      </c>
      <c r="B14" s="39" t="inlineStr">
        <is>
          <t>Magnetic Silicone Fender Tool Roll (Standard + Pro/XL)</t>
        </is>
      </c>
      <c r="C14" s="39" t="inlineStr">
        <is>
          <t>High Risk / Low Revenue</t>
        </is>
      </c>
      <c r="D14" s="40" t="inlineStr">
        <is>
          <t>Base case</t>
        </is>
      </c>
      <c r="E14" s="41" t="n">
        <v>53.33</v>
      </c>
      <c r="F14" s="42" t="n">
        <v>9000</v>
      </c>
      <c r="G14" s="43">
        <f>E14*F14/1000000</f>
        <v/>
      </c>
      <c r="H14" s="44" t="n">
        <v>0.012000750046878</v>
      </c>
      <c r="I14" s="45">
        <f>E14*(1+H14)</f>
        <v/>
      </c>
      <c r="J14" s="44" t="n">
        <v>1.1</v>
      </c>
      <c r="K14" s="46">
        <f>F14*(1+J14)</f>
        <v/>
      </c>
      <c r="L14" s="44">
        <f>M14/G14-1</f>
        <v/>
      </c>
      <c r="M14" s="47">
        <f>I14*K14/1000000</f>
        <v/>
      </c>
      <c r="N14" s="48" t="n">
        <v>0.0196405410413194</v>
      </c>
      <c r="O14" s="49">
        <f>I14*(1+N14)</f>
        <v/>
      </c>
      <c r="P14" s="48" t="n">
        <v>0.682539682539683</v>
      </c>
      <c r="Q14" s="50">
        <f>K14*(1+P14)</f>
        <v/>
      </c>
      <c r="R14" s="48">
        <f>S14/M14-1</f>
        <v/>
      </c>
      <c r="S14" s="51">
        <f>O14*Q14/1000000</f>
        <v/>
      </c>
      <c r="T14" s="52" t="n">
        <v>0.000908595311648108</v>
      </c>
      <c r="U14" s="53">
        <f>O14*(1+T14)</f>
        <v/>
      </c>
      <c r="V14" s="52" t="n">
        <v>0.29874213836478</v>
      </c>
      <c r="W14" s="54">
        <f>Q14*(1+V14)</f>
        <v/>
      </c>
      <c r="X14" s="52">
        <f>Y14/S14-1</f>
        <v/>
      </c>
      <c r="Y14" s="55">
        <f>U14*W14/1000000</f>
        <v/>
      </c>
      <c r="Z14" s="56" t="n">
        <v>-0.00127087872185916</v>
      </c>
      <c r="AA14" s="57">
        <f>U14*(1+Z14)</f>
        <v/>
      </c>
      <c r="AB14" s="56" t="n">
        <v>0.232445520581114</v>
      </c>
      <c r="AC14" s="58">
        <f>W14*(1+AB14)</f>
        <v/>
      </c>
      <c r="AD14" s="56">
        <f>AE14/Y14-1</f>
        <v/>
      </c>
      <c r="AE14" s="59">
        <f>AA14*AC14/1000000</f>
        <v/>
      </c>
      <c r="AF14" s="60">
        <f>SUM(G14,M14,S14,Y14,AE14)</f>
        <v/>
      </c>
      <c r="AG14" s="39" t="n">
        <v>4</v>
      </c>
    </row>
    <row r="15" ht="30" customHeight="1" s="31">
      <c r="A15" s="39" t="inlineStr">
        <is>
          <t>Articulating Borescope (Wireless/App)</t>
        </is>
      </c>
      <c r="B15" s="39" t="inlineStr">
        <is>
          <t>Borescope Wireless/App</t>
        </is>
      </c>
      <c r="C15" s="39" t="inlineStr">
        <is>
          <t>High Risk / Low Revenue</t>
        </is>
      </c>
      <c r="D15" s="40" t="inlineStr">
        <is>
          <t>Validation-only — sub-scale</t>
        </is>
      </c>
      <c r="E15" s="41" t="n">
        <v>80.48999999999999</v>
      </c>
      <c r="F15" s="42" t="n">
        <v>4100</v>
      </c>
      <c r="G15" s="43">
        <f>E15*F15/1000000</f>
        <v/>
      </c>
      <c r="H15" s="44" t="n">
        <v>0.00733010311839988</v>
      </c>
      <c r="I15" s="45">
        <f>E15*(1+H15)</f>
        <v/>
      </c>
      <c r="J15" s="44" t="n">
        <v>0.804878048780488</v>
      </c>
      <c r="K15" s="46">
        <f>F15*(1+J15)</f>
        <v/>
      </c>
      <c r="L15" s="44">
        <f>M15/G15-1</f>
        <v/>
      </c>
      <c r="M15" s="47">
        <f>I15*K15/1000000</f>
        <v/>
      </c>
      <c r="N15" s="48" t="n">
        <v>-0.000616674888998525</v>
      </c>
      <c r="O15" s="49">
        <f>I15*(1+N15)</f>
        <v/>
      </c>
      <c r="P15" s="48" t="n">
        <v>0.567567567567568</v>
      </c>
      <c r="Q15" s="50">
        <f>K15*(1+P15)</f>
        <v/>
      </c>
      <c r="R15" s="48">
        <f>S15/M15-1</f>
        <v/>
      </c>
      <c r="S15" s="51">
        <f>O15*Q15/1000000</f>
        <v/>
      </c>
      <c r="T15" s="52" t="n">
        <v>0.000863877576206207</v>
      </c>
      <c r="U15" s="53">
        <f>O15*(1+T15)</f>
        <v/>
      </c>
      <c r="V15" s="52" t="n">
        <v>0.09913793103448271</v>
      </c>
      <c r="W15" s="54">
        <f>Q15*(1+V15)</f>
        <v/>
      </c>
      <c r="X15" s="52">
        <f>Y15/S15-1</f>
        <v/>
      </c>
      <c r="Y15" s="55">
        <f>U15*W15/1000000</f>
        <v/>
      </c>
      <c r="Z15" s="56" t="n">
        <v>0.000616522811344167</v>
      </c>
      <c r="AA15" s="57">
        <f>U15*(1+Z15)</f>
        <v/>
      </c>
      <c r="AB15" s="56" t="n">
        <v>0.09019607843137251</v>
      </c>
      <c r="AC15" s="58">
        <f>W15*(1+AB15)</f>
        <v/>
      </c>
      <c r="AD15" s="56">
        <f>AE15/Y15-1</f>
        <v/>
      </c>
      <c r="AE15" s="59">
        <f>AA15*AC15/1000000</f>
        <v/>
      </c>
      <c r="AF15" s="60">
        <f>SUM(G15,M15,S15,Y15,AE15)</f>
        <v/>
      </c>
      <c r="AG15" s="39" t="n">
        <v>4</v>
      </c>
    </row>
    <row r="16" ht="30" customHeight="1" s="31">
      <c r="A16" s="39" t="inlineStr">
        <is>
          <t>Digital Multimeter (DMM)</t>
        </is>
      </c>
      <c r="B16" s="39" t="inlineStr">
        <is>
          <t>Audio DMM (validation-only)</t>
        </is>
      </c>
      <c r="C16" s="39" t="inlineStr">
        <is>
          <t>High Risk / Low Revenue</t>
        </is>
      </c>
      <c r="D16" s="40" t="inlineStr">
        <is>
          <t>Validation-only</t>
        </is>
      </c>
      <c r="E16" s="41" t="n">
        <v>45.45</v>
      </c>
      <c r="F16" s="42" t="n">
        <v>2200</v>
      </c>
      <c r="G16" s="43">
        <f>E16*F16/1000000</f>
        <v/>
      </c>
      <c r="H16" s="44" t="n">
        <v>-0.0147414741474148</v>
      </c>
      <c r="I16" s="45">
        <f>E16*(1+H16)</f>
        <v/>
      </c>
      <c r="J16" s="44" t="n">
        <v>2.04545454545455</v>
      </c>
      <c r="K16" s="46">
        <f>F16*(1+J16)</f>
        <v/>
      </c>
      <c r="L16" s="44">
        <f>M16/G16-1</f>
        <v/>
      </c>
      <c r="M16" s="47">
        <f>I16*K16/1000000</f>
        <v/>
      </c>
      <c r="N16" s="48" t="n">
        <v>0.00602947744528803</v>
      </c>
      <c r="O16" s="49">
        <f>I16*(1+N16)</f>
        <v/>
      </c>
      <c r="P16" s="48" t="n">
        <v>0.656716417910448</v>
      </c>
      <c r="Q16" s="50">
        <f>K16*(1+P16)</f>
        <v/>
      </c>
      <c r="R16" s="48">
        <f>S16/M16-1</f>
        <v/>
      </c>
      <c r="S16" s="51">
        <f>O16*Q16/1000000</f>
        <v/>
      </c>
      <c r="T16" s="52" t="n">
        <v>0.000665926748057766</v>
      </c>
      <c r="U16" s="53">
        <f>O16*(1+T16)</f>
        <v/>
      </c>
      <c r="V16" s="52" t="n">
        <v>0.0990990990990992</v>
      </c>
      <c r="W16" s="54">
        <f>Q16*(1+V16)</f>
        <v/>
      </c>
      <c r="X16" s="52">
        <f>Y16/S16-1</f>
        <v/>
      </c>
      <c r="Y16" s="55">
        <f>U16*W16/1000000</f>
        <v/>
      </c>
      <c r="Z16" s="56" t="n">
        <v>0.000665483584738169</v>
      </c>
      <c r="AA16" s="57">
        <f>U16*(1+Z16)</f>
        <v/>
      </c>
      <c r="AB16" s="56" t="n">
        <v>0.0901639344262295</v>
      </c>
      <c r="AC16" s="58">
        <f>W16*(1+AB16)</f>
        <v/>
      </c>
      <c r="AD16" s="56">
        <f>AE16/Y16-1</f>
        <v/>
      </c>
      <c r="AE16" s="59">
        <f>AA16*AC16/1000000</f>
        <v/>
      </c>
      <c r="AF16" s="60">
        <f>SUM(G16,M16,S16,Y16,AE16)</f>
        <v/>
      </c>
      <c r="AG16" s="39" t="n">
        <v>4</v>
      </c>
    </row>
  </sheetData>
  <autoFilter ref="A1:AF1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2026-04-29T18:28:32Z</dcterms:created>
  <dcterms:modified xsi:type="dcterms:W3CDTF">2026-04-29T18:39:15Z</dcterms:modified>
  <cp:revision>0</cp:revision>
</cp:coreProperties>
</file>