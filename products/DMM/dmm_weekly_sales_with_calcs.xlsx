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z_calcs" sheetId="1" state="visible" r:id="rId3"/>
    <sheet name="weekly_detail" sheetId="2" state="visible" r:id="rId4"/>
    <sheet name="mapping_audit" sheetId="3" state="visible" r:id="rId5"/>
  </sheets>
  <definedNames>
    <definedName function="false" hidden="true" localSheetId="2" name="_xlnm._FilterDatabase" vbProcedure="false">mapping_audit!$A$1:$J$9</definedName>
    <definedName function="false" hidden="true" localSheetId="1" name="_xlnm._FilterDatabase" vbProcedure="false">weekly_detail!$A$1:$X$37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<sst xmlns="http://schemas.openxmlformats.org/spreadsheetml/2006/main" count="415" uniqueCount="105">
  <si>
    <t xml:space="preserve">AutoZone Sales Calculations — SKU 3306 · 3320 · 3340</t>
  </si>
  <si>
    <t xml:space="preserve">Source: weekly_detail sheet  |  Columns: K=tyly_fw_units · L=tyly_fw_revenue · Q=tyly_l52_units · R=tyly_l52_revenue  |  Blue = formula</t>
  </si>
  <si>
    <t xml:space="preserve">1.  Avg Weekly Sell-Through  —  AVERAGE of each SKU's 9 sampled weeks in weekly_detail</t>
  </si>
  <si>
    <t xml:space="preserve">Metric</t>
  </si>
  <si>
    <t xml:space="preserve">SKU 3306
(rows 2–10)</t>
  </si>
  <si>
    <t xml:space="preserve">SKU 3320
(rows 11–19)</t>
  </si>
  <si>
    <t xml:space="preserve">SKU 3340
(rows 29–37)</t>
  </si>
  <si>
    <t xml:space="preserve">Source column</t>
  </si>
  <si>
    <t xml:space="preserve">Weeks sampled (count)</t>
  </si>
  <si>
    <t xml:space="preserve">col K (any)</t>
  </si>
  <si>
    <t xml:space="preserve">Avg Weekly Units
=AVERAGE(tyly_fw_units)</t>
  </si>
  <si>
    <t xml:space="preserve">col K</t>
  </si>
  <si>
    <t xml:space="preserve">Avg Weekly Revenue
=AVERAGE(tyly_fw_revenue)</t>
  </si>
  <si>
    <t xml:space="preserve">col L</t>
  </si>
  <si>
    <t xml:space="preserve">2.  Rolling 12-Month (L52)  —  tyly_l52 value from each SKU's latest sampled row (Wk 49 / 2025)</t>
  </si>
  <si>
    <t xml:space="preserve">SKU 3306
(row 10)</t>
  </si>
  <si>
    <t xml:space="preserve">SKU 3320
(row 19)</t>
  </si>
  <si>
    <t xml:space="preserve">SKU 3340
(row 37)</t>
  </si>
  <si>
    <t xml:space="preserve">Snapshot week / year</t>
  </si>
  <si>
    <t xml:space="preserve">cols G &amp; H</t>
  </si>
  <si>
    <t xml:space="preserve">Rolling 12-Mo Units
=tyly_l52_units (col Q)</t>
  </si>
  <si>
    <t xml:space="preserve">col Q</t>
  </si>
  <si>
    <t xml:space="preserve">Rolling 12-Mo Revenue
=tyly_l52_revenue (col R)</t>
  </si>
  <si>
    <t xml:space="preserve">col R</t>
  </si>
  <si>
    <t xml:space="preserve">3.  Monthly Equivalents  —  Avg Weekly × 52 ÷ 12  (converts weekly average to a monthly rate)</t>
  </si>
  <si>
    <t xml:space="preserve">SKU 3306</t>
  </si>
  <si>
    <t xml:space="preserve">SKU 3320</t>
  </si>
  <si>
    <t xml:space="preserve">SKU 3340</t>
  </si>
  <si>
    <t xml:space="preserve">Formula pattern</t>
  </si>
  <si>
    <t xml:space="preserve">Monthly Units
=Avg Wkly Units × 52/12</t>
  </si>
  <si>
    <t xml:space="preserve">Avg Wkly × 52/12</t>
  </si>
  <si>
    <t xml:space="preserve">Monthly Revenue
=Avg Wkly Revenue × 52/12</t>
  </si>
  <si>
    <t xml:space="preserve">4.  Combined 3-SKU Totals  —  SUM across SKU 3306 + 3320 + 3340</t>
  </si>
  <si>
    <t xml:space="preserve">Combined Total</t>
  </si>
  <si>
    <t xml:space="preserve">Avg Weekly Units</t>
  </si>
  <si>
    <t xml:space="preserve">Avg Weekly Revenue</t>
  </si>
  <si>
    <t xml:space="preserve">Monthly Units</t>
  </si>
  <si>
    <t xml:space="preserve">Monthly Revenue</t>
  </si>
  <si>
    <t xml:space="preserve">Rolling 12-Mo Units</t>
  </si>
  <si>
    <t xml:space="preserve">Rolling 12-Mo Revenue</t>
  </si>
  <si>
    <t xml:space="preserve">Notes:  L52 = AutoZone's own rolling last-52-week accumulator pulled from column Q/R of weekly_detail at the latest sampled row (Wk 49/2025).  Monthly equiv = avg weekly × (52÷12).  Averages cover 9 non-consecutive sampled weeks: 35, 36, 40, 41, 43, 44, 46, 47, 49 of 2025.  Blue text = Excel formula.  Gold row = combined total.</t>
  </si>
  <si>
    <t xml:space="preserve">image_sku</t>
  </si>
  <si>
    <t xml:space="preserve">matched_part_number</t>
  </si>
  <si>
    <t xml:space="preserve">match_type</t>
  </si>
  <si>
    <t xml:space="preserve">item_number</t>
  </si>
  <si>
    <t xml:space="preserve">major_category</t>
  </si>
  <si>
    <t xml:space="preserve">minor_dept</t>
  </si>
  <si>
    <t xml:space="preserve">actual_year</t>
  </si>
  <si>
    <t xml:space="preserve">actual_week</t>
  </si>
  <si>
    <t xml:space="preserve">actual_month</t>
  </si>
  <si>
    <t xml:space="preserve">source_file</t>
  </si>
  <si>
    <t xml:space="preserve">tyly_fw_units</t>
  </si>
  <si>
    <t xml:space="preserve">tyly_fw_revenue</t>
  </si>
  <si>
    <t xml:space="preserve">summary_fw_units</t>
  </si>
  <si>
    <t xml:space="preserve">summary_fw_revenue</t>
  </si>
  <si>
    <t xml:space="preserve">fw_units_delta</t>
  </si>
  <si>
    <t xml:space="preserve">fw_revenue_delta</t>
  </si>
  <si>
    <t xml:space="preserve">tyly_l52_units</t>
  </si>
  <si>
    <t xml:space="preserve">tyly_l52_revenue</t>
  </si>
  <si>
    <t xml:space="preserve">summary_l52_units</t>
  </si>
  <si>
    <t xml:space="preserve">summary_l52_revenue</t>
  </si>
  <si>
    <t xml:space="preserve">l52_units_delta</t>
  </si>
  <si>
    <t xml:space="preserve">l52_revenue_delta</t>
  </si>
  <si>
    <t xml:space="preserve">units_match_flag</t>
  </si>
  <si>
    <t xml:space="preserve">revenue_match_flag</t>
  </si>
  <si>
    <t xml:space="preserve">3306</t>
  </si>
  <si>
    <t xml:space="preserve">3306N</t>
  </si>
  <si>
    <t xml:space="preserve">alias</t>
  </si>
  <si>
    <t xml:space="preserve">64471</t>
  </si>
  <si>
    <t xml:space="preserve">ELECTRICAL TOOLS</t>
  </si>
  <si>
    <t xml:space="preserve">August 2025</t>
  </si>
  <si>
    <t xml:space="preserve">Innova-AZ FY26FW01.xlsx</t>
  </si>
  <si>
    <t xml:space="preserve">September 2025</t>
  </si>
  <si>
    <t xml:space="preserve">Innova-AZ FY26FW02.xlsx</t>
  </si>
  <si>
    <t xml:space="preserve">October 2025</t>
  </si>
  <si>
    <t xml:space="preserve">Innova-AZ FY26FW06.xlsx</t>
  </si>
  <si>
    <t xml:space="preserve">Innova-AZ FY26FW07.xlsx</t>
  </si>
  <si>
    <t xml:space="preserve">Innova-AZ FY26FW09.xlsx</t>
  </si>
  <si>
    <t xml:space="preserve">November 2025</t>
  </si>
  <si>
    <t xml:space="preserve">Innova-AZ FY26FW10.xlsx</t>
  </si>
  <si>
    <t xml:space="preserve">Innova-AZ FY26FW12.xlsx</t>
  </si>
  <si>
    <t xml:space="preserve">Innova-AZ FY26FW13.xlsx</t>
  </si>
  <si>
    <t xml:space="preserve">December 2025</t>
  </si>
  <si>
    <t xml:space="preserve">Innova-AZ FY26FW15.xlsx</t>
  </si>
  <si>
    <t xml:space="preserve">3320</t>
  </si>
  <si>
    <t xml:space="preserve">exact</t>
  </si>
  <si>
    <t xml:space="preserve">64472</t>
  </si>
  <si>
    <t xml:space="preserve">3330</t>
  </si>
  <si>
    <t xml:space="preserve">1391465.0</t>
  </si>
  <si>
    <t xml:space="preserve">TESTERS</t>
  </si>
  <si>
    <t xml:space="preserve">3340</t>
  </si>
  <si>
    <t xml:space="preserve">94874.0</t>
  </si>
  <si>
    <t xml:space="preserve">match_status</t>
  </si>
  <si>
    <t xml:space="preserve">found_in_product_full_list</t>
  </si>
  <si>
    <t xml:space="preserve">found_in_sales_files</t>
  </si>
  <si>
    <t xml:space="preserve">unresolved_reason</t>
  </si>
  <si>
    <t xml:space="preserve">3300</t>
  </si>
  <si>
    <t xml:space="preserve">unresolved</t>
  </si>
  <si>
    <t xml:space="preserve">No exact match found and no configured alias resolved in source data.</t>
  </si>
  <si>
    <t xml:space="preserve">matched</t>
  </si>
  <si>
    <t xml:space="preserve">3320b</t>
  </si>
  <si>
    <t xml:space="preserve">1391465</t>
  </si>
  <si>
    <t xml:space="preserve">94874</t>
  </si>
  <si>
    <t xml:space="preserve">DS200</t>
  </si>
  <si>
    <t xml:space="preserve">DS201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</si>
</sst>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@"/>
    <numFmt numFmtId="167" formatCode="\$#,##0;&quot;($&quot;#,##0\);\-"/>
    <numFmt numFmtId="168" formatCode="0"/>
    <numFmt numFmtId="169" formatCode="\$#,##0.00;[RED]&quot;($&quot;#,##0.00\)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5D4037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11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1A"/>
        <bgColor rgb="FF333333"/>
      </patternFill>
    </fill>
    <fill>
      <patternFill patternType="solid">
        <fgColor rgb="FF37474F"/>
        <bgColor rgb="FF333333"/>
      </patternFill>
    </fill>
    <fill>
      <patternFill patternType="solid">
        <fgColor rgb="FFE8E8E8"/>
        <bgColor rgb="FFF0F0F0"/>
      </patternFill>
    </fill>
    <fill>
      <patternFill patternType="solid">
        <fgColor rgb="FFDCE8F8"/>
        <bgColor rgb="FFD9EAF7"/>
      </patternFill>
    </fill>
    <fill>
      <patternFill patternType="solid">
        <fgColor rgb="FFFDECEA"/>
        <bgColor rgb="FFF0F0F0"/>
      </patternFill>
    </fill>
    <fill>
      <patternFill patternType="solid">
        <fgColor rgb="FFE8F5E9"/>
        <bgColor rgb="FFF0F0F0"/>
      </patternFill>
    </fill>
    <fill>
      <patternFill patternType="solid">
        <fgColor rgb="FFF0F0F0"/>
        <bgColor rgb="FFF5F5F5"/>
      </patternFill>
    </fill>
    <fill>
      <patternFill patternType="solid">
        <fgColor rgb="FFF5F5F5"/>
        <bgColor rgb="FFF0F0F0"/>
      </patternFill>
    </fill>
    <fill>
      <patternFill patternType="solid">
        <fgColor rgb="FFFFF8E1"/>
        <bgColor rgb="FFF5F5F5"/>
      </patternFill>
    </fill>
    <fill>
      <patternFill patternType="solid">
        <fgColor rgb="FFD9EAF7"/>
        <bgColor rgb="FFDCE8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55555"/>
      <rgbColor rgb="FF9999FF"/>
      <rgbColor rgb="FF5D4037"/>
      <rgbColor rgb="FFFFF8E1"/>
      <rgbColor rgb="FFD9EAF7"/>
      <rgbColor rgb="FF660066"/>
      <rgbColor rgb="FFFF8080"/>
      <rgbColor rgb="FF1565C0"/>
      <rgbColor rgb="FFDCE8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8E8"/>
      <rgbColor rgb="FFFDECEA"/>
      <rgbColor rgb="FFF5F5F5"/>
      <rgbColor rgb="FFFF99CC"/>
      <rgbColor rgb="FFCC99FF"/>
      <rgbColor rgb="FFF0F0F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1A1A1A"/>
      <rgbColor rgb="FFC62828"/>
      <rgbColor rgb="FF993366"/>
      <rgbColor rgb="FF37474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6"/>
    <col collapsed="false" customWidth="true" hidden="false" outlineLevel="0" max="7" min="6" style="1" width="1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</row>
    <row r="5" customFormat="false" ht="30" hidden="false" customHeight="true" outlineLevel="0" collapsed="false">
      <c r="A5" s="5" t="s">
        <v>3</v>
      </c>
      <c r="B5" s="6" t="s">
        <v>4</v>
      </c>
      <c r="C5" s="7" t="s">
        <v>5</v>
      </c>
      <c r="D5" s="8" t="s">
        <v>6</v>
      </c>
      <c r="E5" s="9" t="s">
        <v>7</v>
      </c>
    </row>
    <row r="6" customFormat="false" ht="18.75" hidden="false" customHeight="true" outlineLevel="0" collapsed="false">
      <c r="A6" s="10" t="s">
        <v>8</v>
      </c>
      <c r="B6" s="11" t="n">
        <f aca="false">COUNTA(weekly_detail!K2:K10)</f>
        <v>9</v>
      </c>
      <c r="C6" s="12" t="n">
        <f aca="false">COUNTA(weekly_detail!K11:K19)</f>
        <v>9</v>
      </c>
      <c r="D6" s="13" t="n">
        <f aca="false">COUNTA(weekly_detail!K29:K37)</f>
        <v>9</v>
      </c>
      <c r="E6" s="14" t="s">
        <v>9</v>
      </c>
    </row>
    <row r="7" customFormat="false" ht="18.75" hidden="false" customHeight="true" outlineLevel="0" collapsed="false">
      <c r="A7" s="10" t="s">
        <v>10</v>
      </c>
      <c r="B7" s="11" t="n">
        <f aca="false">AVERAGE(weekly_detail!K2:K10)</f>
        <v>1061.44444444444</v>
      </c>
      <c r="C7" s="12" t="n">
        <f aca="false">AVERAGE(weekly_detail!K11:K19)</f>
        <v>975.444444444445</v>
      </c>
      <c r="D7" s="13" t="n">
        <f aca="false">AVERAGE(weekly_detail!K29:K37)</f>
        <v>121.666666666667</v>
      </c>
      <c r="E7" s="14" t="s">
        <v>11</v>
      </c>
    </row>
    <row r="8" customFormat="false" ht="18.75" hidden="false" customHeight="true" outlineLevel="0" collapsed="false">
      <c r="A8" s="10" t="s">
        <v>12</v>
      </c>
      <c r="B8" s="15" t="n">
        <f aca="false">AVERAGE(weekly_detail!L2:L10)</f>
        <v>25381.6466666667</v>
      </c>
      <c r="C8" s="16" t="n">
        <f aca="false">AVERAGE(weekly_detail!L11:L19)</f>
        <v>34854.2988888889</v>
      </c>
      <c r="D8" s="17" t="n">
        <f aca="false">AVERAGE(weekly_detail!L29:L37)</f>
        <v>8378.86444444444</v>
      </c>
      <c r="E8" s="14" t="s">
        <v>13</v>
      </c>
    </row>
    <row r="10" customFormat="false" ht="21.75" hidden="false" customHeight="true" outlineLevel="0" collapsed="false">
      <c r="A10" s="4" t="s">
        <v>14</v>
      </c>
      <c r="B10" s="4"/>
      <c r="C10" s="4"/>
      <c r="D10" s="4"/>
      <c r="E10" s="4"/>
    </row>
    <row r="11" customFormat="false" ht="30" hidden="false" customHeight="true" outlineLevel="0" collapsed="false">
      <c r="A11" s="5" t="s">
        <v>3</v>
      </c>
      <c r="B11" s="6" t="s">
        <v>15</v>
      </c>
      <c r="C11" s="7" t="s">
        <v>16</v>
      </c>
      <c r="D11" s="8" t="s">
        <v>17</v>
      </c>
      <c r="E11" s="9" t="s">
        <v>7</v>
      </c>
    </row>
    <row r="12" customFormat="false" ht="18.75" hidden="false" customHeight="true" outlineLevel="0" collapsed="false">
      <c r="A12" s="10" t="s">
        <v>18</v>
      </c>
      <c r="B12" s="18" t="str">
        <f aca="false">"Wk "&amp;weekly_detail!H10&amp;"/"&amp;weekly_detail!G10</f>
        <v>Wk 49/2025</v>
      </c>
      <c r="C12" s="19" t="str">
        <f aca="false">"Wk "&amp;weekly_detail!H19&amp;"/"&amp;weekly_detail!G19</f>
        <v>Wk 49/2025</v>
      </c>
      <c r="D12" s="20" t="str">
        <f aca="false">"Wk "&amp;weekly_detail!H37&amp;"/"&amp;weekly_detail!G37</f>
        <v>Wk 49/2025</v>
      </c>
      <c r="E12" s="14" t="s">
        <v>19</v>
      </c>
    </row>
    <row r="13" customFormat="false" ht="18.75" hidden="false" customHeight="true" outlineLevel="0" collapsed="false">
      <c r="A13" s="10" t="s">
        <v>20</v>
      </c>
      <c r="B13" s="11" t="n">
        <f aca="false">weekly_detail!Q10</f>
        <v>55628</v>
      </c>
      <c r="C13" s="12" t="n">
        <f aca="false">weekly_detail!Q19</f>
        <v>53078</v>
      </c>
      <c r="D13" s="13" t="n">
        <f aca="false">weekly_detail!Q37</f>
        <v>4960</v>
      </c>
      <c r="E13" s="14" t="s">
        <v>21</v>
      </c>
    </row>
    <row r="14" customFormat="false" ht="18.75" hidden="false" customHeight="true" outlineLevel="0" collapsed="false">
      <c r="A14" s="10" t="s">
        <v>22</v>
      </c>
      <c r="B14" s="15" t="n">
        <f aca="false">weekly_detail!R10</f>
        <v>1344181.11</v>
      </c>
      <c r="C14" s="16" t="n">
        <f aca="false">weekly_detail!R19</f>
        <v>1911448.12</v>
      </c>
      <c r="D14" s="17" t="n">
        <f aca="false">weekly_detail!R37</f>
        <v>349946.36</v>
      </c>
      <c r="E14" s="14" t="s">
        <v>23</v>
      </c>
    </row>
    <row r="16" customFormat="false" ht="21.75" hidden="false" customHeight="true" outlineLevel="0" collapsed="false">
      <c r="A16" s="4" t="s">
        <v>24</v>
      </c>
      <c r="B16" s="4"/>
      <c r="C16" s="4"/>
      <c r="D16" s="4"/>
      <c r="E16" s="4"/>
    </row>
    <row r="17" customFormat="false" ht="30" hidden="false" customHeight="true" outlineLevel="0" collapsed="false">
      <c r="A17" s="5" t="s">
        <v>3</v>
      </c>
      <c r="B17" s="6" t="s">
        <v>25</v>
      </c>
      <c r="C17" s="7" t="s">
        <v>26</v>
      </c>
      <c r="D17" s="8" t="s">
        <v>27</v>
      </c>
      <c r="E17" s="9" t="s">
        <v>28</v>
      </c>
    </row>
    <row r="18" customFormat="false" ht="18.75" hidden="false" customHeight="true" outlineLevel="0" collapsed="false">
      <c r="A18" s="10" t="s">
        <v>29</v>
      </c>
      <c r="B18" s="11" t="n">
        <f aca="false">B7*52/12</f>
        <v>4599.59259259259</v>
      </c>
      <c r="C18" s="12" t="n">
        <f aca="false">C7*52/12</f>
        <v>4226.92592592593</v>
      </c>
      <c r="D18" s="13" t="n">
        <f aca="false">D7*52/12</f>
        <v>527.222222222222</v>
      </c>
      <c r="E18" s="21" t="s">
        <v>30</v>
      </c>
    </row>
    <row r="19" customFormat="false" ht="18.75" hidden="false" customHeight="true" outlineLevel="0" collapsed="false">
      <c r="A19" s="10" t="s">
        <v>31</v>
      </c>
      <c r="B19" s="15" t="n">
        <f aca="false">B8*52/12</f>
        <v>109987.135555556</v>
      </c>
      <c r="C19" s="16" t="n">
        <f aca="false">C8*52/12</f>
        <v>151035.295185185</v>
      </c>
      <c r="D19" s="17" t="n">
        <f aca="false">D8*52/12</f>
        <v>36308.4125925926</v>
      </c>
      <c r="E19" s="21" t="s">
        <v>30</v>
      </c>
    </row>
    <row r="21" customFormat="false" ht="21.75" hidden="false" customHeight="true" outlineLevel="0" collapsed="false">
      <c r="A21" s="4" t="s">
        <v>32</v>
      </c>
      <c r="B21" s="4"/>
      <c r="C21" s="4"/>
      <c r="D21" s="4"/>
      <c r="E21" s="4"/>
    </row>
    <row r="22" customFormat="false" ht="30" hidden="false" customHeight="true" outlineLevel="0" collapsed="false">
      <c r="A22" s="5" t="s">
        <v>3</v>
      </c>
      <c r="B22" s="6" t="s">
        <v>25</v>
      </c>
      <c r="C22" s="7" t="s">
        <v>26</v>
      </c>
      <c r="D22" s="8" t="s">
        <v>27</v>
      </c>
      <c r="E22" s="22" t="s">
        <v>33</v>
      </c>
    </row>
    <row r="23" customFormat="false" ht="18.75" hidden="false" customHeight="true" outlineLevel="0" collapsed="false">
      <c r="A23" s="10" t="s">
        <v>34</v>
      </c>
      <c r="B23" s="11" t="n">
        <f aca="false">B7</f>
        <v>1061.44444444444</v>
      </c>
      <c r="C23" s="12" t="n">
        <f aca="false">C7</f>
        <v>975.444444444445</v>
      </c>
      <c r="D23" s="13" t="n">
        <f aca="false">D7</f>
        <v>121.666666666667</v>
      </c>
      <c r="E23" s="23" t="n">
        <f aca="false">B23+C23+D23</f>
        <v>2158.55555555556</v>
      </c>
    </row>
    <row r="24" customFormat="false" ht="18.75" hidden="false" customHeight="true" outlineLevel="0" collapsed="false">
      <c r="A24" s="10" t="s">
        <v>35</v>
      </c>
      <c r="B24" s="15" t="n">
        <f aca="false">B8</f>
        <v>25381.6466666667</v>
      </c>
      <c r="C24" s="16" t="n">
        <f aca="false">C8</f>
        <v>34854.2988888889</v>
      </c>
      <c r="D24" s="17" t="n">
        <f aca="false">D8</f>
        <v>8378.86444444444</v>
      </c>
      <c r="E24" s="24" t="n">
        <f aca="false">B24+C24+D24</f>
        <v>68614.81</v>
      </c>
    </row>
    <row r="25" customFormat="false" ht="18.75" hidden="false" customHeight="true" outlineLevel="0" collapsed="false">
      <c r="A25" s="10" t="s">
        <v>36</v>
      </c>
      <c r="B25" s="11" t="n">
        <f aca="false">B18</f>
        <v>4599.59259259259</v>
      </c>
      <c r="C25" s="12" t="n">
        <f aca="false">C18</f>
        <v>4226.92592592593</v>
      </c>
      <c r="D25" s="13" t="n">
        <f aca="false">D18</f>
        <v>527.222222222222</v>
      </c>
      <c r="E25" s="23" t="n">
        <f aca="false">B25+C25+D25</f>
        <v>9353.74074074074</v>
      </c>
    </row>
    <row r="26" customFormat="false" ht="18.75" hidden="false" customHeight="true" outlineLevel="0" collapsed="false">
      <c r="A26" s="10" t="s">
        <v>37</v>
      </c>
      <c r="B26" s="15" t="n">
        <f aca="false">B19</f>
        <v>109987.135555556</v>
      </c>
      <c r="C26" s="16" t="n">
        <f aca="false">C19</f>
        <v>151035.295185185</v>
      </c>
      <c r="D26" s="17" t="n">
        <f aca="false">D19</f>
        <v>36308.4125925926</v>
      </c>
      <c r="E26" s="24" t="n">
        <f aca="false">B26+C26+D26</f>
        <v>297330.843333333</v>
      </c>
    </row>
    <row r="27" customFormat="false" ht="18.75" hidden="false" customHeight="true" outlineLevel="0" collapsed="false">
      <c r="A27" s="10" t="s">
        <v>38</v>
      </c>
      <c r="B27" s="11" t="n">
        <f aca="false">B13</f>
        <v>55628</v>
      </c>
      <c r="C27" s="12" t="n">
        <f aca="false">C13</f>
        <v>53078</v>
      </c>
      <c r="D27" s="13" t="n">
        <f aca="false">D13</f>
        <v>4960</v>
      </c>
      <c r="E27" s="23" t="n">
        <f aca="false">B27+C27+D27</f>
        <v>113666</v>
      </c>
    </row>
    <row r="28" customFormat="false" ht="18.75" hidden="false" customHeight="true" outlineLevel="0" collapsed="false">
      <c r="A28" s="10" t="s">
        <v>39</v>
      </c>
      <c r="B28" s="15" t="n">
        <f aca="false">B14</f>
        <v>1344181.11</v>
      </c>
      <c r="C28" s="16" t="n">
        <f aca="false">C14</f>
        <v>1911448.12</v>
      </c>
      <c r="D28" s="17" t="n">
        <f aca="false">D14</f>
        <v>349946.36</v>
      </c>
      <c r="E28" s="24" t="n">
        <f aca="false">B28+C28+D28</f>
        <v>3605575.59</v>
      </c>
    </row>
    <row r="30" customFormat="false" ht="43.5" hidden="false" customHeight="true" outlineLevel="0" collapsed="false">
      <c r="A30" s="25" t="s">
        <v>40</v>
      </c>
      <c r="B30" s="25"/>
      <c r="C30" s="25"/>
      <c r="D30" s="25"/>
      <c r="E30" s="25"/>
    </row>
  </sheetData>
  <mergeCells count="7">
    <mergeCell ref="A1:E1"/>
    <mergeCell ref="A2:E2"/>
    <mergeCell ref="A4:E4"/>
    <mergeCell ref="A10:E10"/>
    <mergeCell ref="A16:E16"/>
    <mergeCell ref="A21:E21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1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6" min="5" style="1" width="18"/>
    <col collapsed="false" customWidth="true" hidden="false" outlineLevel="0" max="8" min="7" style="1" width="13"/>
    <col collapsed="false" customWidth="true" hidden="false" outlineLevel="0" max="9" min="9" style="1" width="16"/>
    <col collapsed="false" customWidth="true" hidden="false" outlineLevel="0" max="10" min="10" style="1" width="25"/>
    <col collapsed="false" customWidth="true" hidden="false" outlineLevel="0" max="11" min="11" style="1" width="15"/>
    <col collapsed="false" customWidth="true" hidden="false" outlineLevel="0" max="12" min="12" style="1" width="17"/>
    <col collapsed="false" customWidth="true" hidden="false" outlineLevel="0" max="13" min="13" style="1" width="18"/>
    <col collapsed="false" customWidth="true" hidden="false" outlineLevel="0" max="14" min="14" style="1" width="20"/>
    <col collapsed="false" customWidth="true" hidden="false" outlineLevel="0" max="15" min="15" style="1" width="16"/>
    <col collapsed="false" customWidth="true" hidden="false" outlineLevel="0" max="16" min="16" style="1" width="18"/>
    <col collapsed="false" customWidth="true" hidden="false" outlineLevel="0" max="17" min="17" style="1" width="16"/>
    <col collapsed="false" customWidth="true" hidden="false" outlineLevel="0" max="18" min="18" style="1" width="18"/>
    <col collapsed="false" customWidth="true" hidden="false" outlineLevel="0" max="19" min="19" style="1" width="19"/>
    <col collapsed="false" customWidth="true" hidden="false" outlineLevel="0" max="20" min="20" style="1" width="21"/>
    <col collapsed="false" customWidth="true" hidden="false" outlineLevel="0" max="21" min="21" style="1" width="17"/>
    <col collapsed="false" customWidth="true" hidden="false" outlineLevel="0" max="22" min="22" style="1" width="19"/>
    <col collapsed="false" customWidth="true" hidden="false" outlineLevel="0" max="23" min="23" style="1" width="18"/>
    <col collapsed="false" customWidth="true" hidden="false" outlineLevel="0" max="24" min="24" style="1" width="20"/>
  </cols>
  <sheetData>
    <row r="1" customFormat="false" ht="15" hidden="false" customHeight="true" outlineLevel="0" collapsed="false">
      <c r="A1" s="26" t="s">
        <v>41</v>
      </c>
      <c r="B1" s="26" t="s">
        <v>42</v>
      </c>
      <c r="C1" s="26" t="s">
        <v>43</v>
      </c>
      <c r="D1" s="26" t="s">
        <v>44</v>
      </c>
      <c r="E1" s="26" t="s">
        <v>45</v>
      </c>
      <c r="F1" s="26" t="s">
        <v>46</v>
      </c>
      <c r="G1" s="26" t="s">
        <v>47</v>
      </c>
      <c r="H1" s="26" t="s">
        <v>48</v>
      </c>
      <c r="I1" s="26" t="s">
        <v>49</v>
      </c>
      <c r="J1" s="26" t="s">
        <v>50</v>
      </c>
      <c r="K1" s="26" t="s">
        <v>51</v>
      </c>
      <c r="L1" s="26" t="s">
        <v>52</v>
      </c>
      <c r="M1" s="26" t="s">
        <v>53</v>
      </c>
      <c r="N1" s="26" t="s">
        <v>54</v>
      </c>
      <c r="O1" s="26" t="s">
        <v>55</v>
      </c>
      <c r="P1" s="26" t="s">
        <v>56</v>
      </c>
      <c r="Q1" s="26" t="s">
        <v>57</v>
      </c>
      <c r="R1" s="26" t="s">
        <v>58</v>
      </c>
      <c r="S1" s="26" t="s">
        <v>59</v>
      </c>
      <c r="T1" s="26" t="s">
        <v>60</v>
      </c>
      <c r="U1" s="26" t="s">
        <v>61</v>
      </c>
      <c r="V1" s="26" t="s">
        <v>62</v>
      </c>
      <c r="W1" s="26" t="s">
        <v>63</v>
      </c>
      <c r="X1" s="26" t="s">
        <v>64</v>
      </c>
    </row>
    <row r="2" customFormat="false" ht="15" hidden="false" customHeight="true" outlineLevel="0" collapsed="false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69</v>
      </c>
      <c r="G2" s="27" t="n">
        <v>2025</v>
      </c>
      <c r="H2" s="27" t="n">
        <v>35</v>
      </c>
      <c r="I2" s="1" t="s">
        <v>70</v>
      </c>
      <c r="J2" s="1" t="s">
        <v>71</v>
      </c>
      <c r="K2" s="27" t="n">
        <v>1164</v>
      </c>
      <c r="L2" s="28" t="n">
        <v>27844.96</v>
      </c>
      <c r="M2" s="27" t="n">
        <v>1164</v>
      </c>
      <c r="N2" s="28" t="n">
        <v>27844.96</v>
      </c>
      <c r="O2" s="27" t="n">
        <v>0</v>
      </c>
      <c r="P2" s="28" t="n">
        <v>0</v>
      </c>
      <c r="Q2" s="27" t="n">
        <v>53615</v>
      </c>
      <c r="R2" s="28" t="n">
        <v>1296108.63</v>
      </c>
      <c r="S2" s="27" t="n">
        <v>53615</v>
      </c>
      <c r="T2" s="28" t="n">
        <v>1296108.63</v>
      </c>
      <c r="U2" s="27" t="n">
        <v>0</v>
      </c>
      <c r="V2" s="28" t="n">
        <v>0</v>
      </c>
      <c r="W2" s="29" t="b">
        <f aca="false">TRUE()</f>
        <v>1</v>
      </c>
      <c r="X2" s="29" t="b">
        <f aca="false">TRUE()</f>
        <v>1</v>
      </c>
    </row>
    <row r="3" customFormat="false" ht="15" hidden="false" customHeight="true" outlineLevel="0" collapsed="false">
      <c r="A3" s="1" t="s">
        <v>65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69</v>
      </c>
      <c r="G3" s="27" t="n">
        <v>2025</v>
      </c>
      <c r="H3" s="27" t="n">
        <v>36</v>
      </c>
      <c r="I3" s="1" t="s">
        <v>72</v>
      </c>
      <c r="J3" s="1" t="s">
        <v>73</v>
      </c>
      <c r="K3" s="27" t="n">
        <v>1139</v>
      </c>
      <c r="L3" s="28" t="n">
        <v>27259.17</v>
      </c>
      <c r="M3" s="27" t="n">
        <v>1139</v>
      </c>
      <c r="N3" s="28" t="n">
        <v>27259.17</v>
      </c>
      <c r="O3" s="27" t="n">
        <v>0</v>
      </c>
      <c r="P3" s="28" t="n">
        <v>0</v>
      </c>
      <c r="Q3" s="27" t="n">
        <v>53771</v>
      </c>
      <c r="R3" s="28" t="n">
        <v>1299876.09</v>
      </c>
      <c r="S3" s="27" t="n">
        <v>53771</v>
      </c>
      <c r="T3" s="28" t="n">
        <v>1299876.09</v>
      </c>
      <c r="U3" s="27" t="n">
        <v>0</v>
      </c>
      <c r="V3" s="28" t="n">
        <v>0</v>
      </c>
      <c r="W3" s="29" t="b">
        <f aca="false">TRUE()</f>
        <v>1</v>
      </c>
      <c r="X3" s="29" t="b">
        <f aca="false">TRUE()</f>
        <v>1</v>
      </c>
    </row>
    <row r="4" customFormat="false" ht="15" hidden="false" customHeight="true" outlineLevel="0" collapsed="false">
      <c r="A4" s="1" t="s">
        <v>65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69</v>
      </c>
      <c r="G4" s="27" t="n">
        <v>2025</v>
      </c>
      <c r="H4" s="27" t="n">
        <v>40</v>
      </c>
      <c r="I4" s="1" t="s">
        <v>74</v>
      </c>
      <c r="J4" s="1" t="s">
        <v>75</v>
      </c>
      <c r="K4" s="27" t="n">
        <v>1111</v>
      </c>
      <c r="L4" s="28" t="n">
        <v>26559.74</v>
      </c>
      <c r="M4" s="27" t="n">
        <v>1111</v>
      </c>
      <c r="N4" s="28" t="n">
        <v>26559.74</v>
      </c>
      <c r="O4" s="27" t="n">
        <v>0</v>
      </c>
      <c r="P4" s="28" t="n">
        <v>0</v>
      </c>
      <c r="Q4" s="27" t="n">
        <v>54557</v>
      </c>
      <c r="R4" s="28" t="n">
        <v>1318581.45</v>
      </c>
      <c r="S4" s="27" t="n">
        <v>54557</v>
      </c>
      <c r="T4" s="28" t="n">
        <v>1318581.45</v>
      </c>
      <c r="U4" s="27" t="n">
        <v>0</v>
      </c>
      <c r="V4" s="28" t="n">
        <v>0</v>
      </c>
      <c r="W4" s="29" t="b">
        <f aca="false">TRUE()</f>
        <v>1</v>
      </c>
      <c r="X4" s="29" t="b">
        <f aca="false">TRUE()</f>
        <v>1</v>
      </c>
    </row>
    <row r="5" customFormat="false" ht="15" hidden="false" customHeight="true" outlineLevel="0" collapsed="false">
      <c r="A5" s="1" t="s">
        <v>65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69</v>
      </c>
      <c r="G5" s="27" t="n">
        <v>2025</v>
      </c>
      <c r="H5" s="27" t="n">
        <v>41</v>
      </c>
      <c r="I5" s="1" t="s">
        <v>74</v>
      </c>
      <c r="J5" s="1" t="s">
        <v>76</v>
      </c>
      <c r="K5" s="27" t="n">
        <v>1149</v>
      </c>
      <c r="L5" s="28" t="n">
        <v>27500.05</v>
      </c>
      <c r="M5" s="27" t="n">
        <v>1149</v>
      </c>
      <c r="N5" s="28" t="n">
        <v>27500.05</v>
      </c>
      <c r="O5" s="27" t="n">
        <v>0</v>
      </c>
      <c r="P5" s="28" t="n">
        <v>0</v>
      </c>
      <c r="Q5" s="27" t="n">
        <v>54719</v>
      </c>
      <c r="R5" s="28" t="n">
        <v>1322471.86</v>
      </c>
      <c r="S5" s="27" t="n">
        <v>54719</v>
      </c>
      <c r="T5" s="28" t="n">
        <v>1322471.86</v>
      </c>
      <c r="U5" s="27" t="n">
        <v>0</v>
      </c>
      <c r="V5" s="28" t="n">
        <v>0</v>
      </c>
      <c r="W5" s="29" t="b">
        <f aca="false">TRUE()</f>
        <v>1</v>
      </c>
      <c r="X5" s="29" t="b">
        <f aca="false">TRUE()</f>
        <v>1</v>
      </c>
    </row>
    <row r="6" customFormat="false" ht="15" hidden="false" customHeight="true" outlineLevel="0" collapsed="false">
      <c r="A6" s="1" t="s">
        <v>65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69</v>
      </c>
      <c r="G6" s="27" t="n">
        <v>2025</v>
      </c>
      <c r="H6" s="27" t="n">
        <v>43</v>
      </c>
      <c r="I6" s="1" t="s">
        <v>74</v>
      </c>
      <c r="J6" s="1" t="s">
        <v>77</v>
      </c>
      <c r="K6" s="27" t="n">
        <v>1072</v>
      </c>
      <c r="L6" s="28" t="n">
        <v>25600.25</v>
      </c>
      <c r="M6" s="27" t="n">
        <v>1072</v>
      </c>
      <c r="N6" s="28" t="n">
        <v>25600.25</v>
      </c>
      <c r="O6" s="27" t="n">
        <v>0</v>
      </c>
      <c r="P6" s="28" t="n">
        <v>0</v>
      </c>
      <c r="Q6" s="27" t="n">
        <v>54988</v>
      </c>
      <c r="R6" s="28" t="n">
        <v>1328881.74</v>
      </c>
      <c r="S6" s="27" t="n">
        <v>54988</v>
      </c>
      <c r="T6" s="28" t="n">
        <v>1328881.74</v>
      </c>
      <c r="U6" s="27" t="n">
        <v>0</v>
      </c>
      <c r="V6" s="28" t="n">
        <v>0</v>
      </c>
      <c r="W6" s="29" t="b">
        <f aca="false">TRUE()</f>
        <v>1</v>
      </c>
      <c r="X6" s="29" t="b">
        <f aca="false">TRUE()</f>
        <v>1</v>
      </c>
    </row>
    <row r="7" customFormat="false" ht="15" hidden="false" customHeight="true" outlineLevel="0" collapsed="false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69</v>
      </c>
      <c r="G7" s="27" t="n">
        <v>2025</v>
      </c>
      <c r="H7" s="27" t="n">
        <v>44</v>
      </c>
      <c r="I7" s="1" t="s">
        <v>78</v>
      </c>
      <c r="J7" s="1" t="s">
        <v>79</v>
      </c>
      <c r="K7" s="27" t="n">
        <v>1066</v>
      </c>
      <c r="L7" s="28" t="n">
        <v>25448.41</v>
      </c>
      <c r="M7" s="27" t="n">
        <v>1066</v>
      </c>
      <c r="N7" s="28" t="n">
        <v>25448.41</v>
      </c>
      <c r="O7" s="27" t="n">
        <v>0</v>
      </c>
      <c r="P7" s="28" t="n">
        <v>0</v>
      </c>
      <c r="Q7" s="27" t="n">
        <v>55155</v>
      </c>
      <c r="R7" s="28" t="n">
        <v>1332812.96</v>
      </c>
      <c r="S7" s="27" t="n">
        <v>55155</v>
      </c>
      <c r="T7" s="28" t="n">
        <v>1332812.96</v>
      </c>
      <c r="U7" s="27" t="n">
        <v>0</v>
      </c>
      <c r="V7" s="28" t="n">
        <v>0</v>
      </c>
      <c r="W7" s="29" t="b">
        <f aca="false">TRUE()</f>
        <v>1</v>
      </c>
      <c r="X7" s="29" t="b">
        <f aca="false">TRUE()</f>
        <v>1</v>
      </c>
    </row>
    <row r="8" customFormat="false" ht="15" hidden="false" customHeight="true" outlineLevel="0" collapsed="false">
      <c r="A8" s="1" t="s">
        <v>65</v>
      </c>
      <c r="B8" s="1" t="s">
        <v>66</v>
      </c>
      <c r="C8" s="1" t="s">
        <v>67</v>
      </c>
      <c r="D8" s="1" t="s">
        <v>68</v>
      </c>
      <c r="E8" s="1" t="s">
        <v>69</v>
      </c>
      <c r="F8" s="1" t="s">
        <v>69</v>
      </c>
      <c r="G8" s="27" t="n">
        <v>2025</v>
      </c>
      <c r="H8" s="27" t="n">
        <v>46</v>
      </c>
      <c r="I8" s="1" t="s">
        <v>78</v>
      </c>
      <c r="J8" s="1" t="s">
        <v>80</v>
      </c>
      <c r="K8" s="27" t="n">
        <v>1011</v>
      </c>
      <c r="L8" s="28" t="n">
        <v>24195.42</v>
      </c>
      <c r="M8" s="27" t="n">
        <v>1011</v>
      </c>
      <c r="N8" s="28" t="n">
        <v>24195.42</v>
      </c>
      <c r="O8" s="27" t="n">
        <v>0</v>
      </c>
      <c r="P8" s="28" t="n">
        <v>0</v>
      </c>
      <c r="Q8" s="27" t="n">
        <v>55393</v>
      </c>
      <c r="R8" s="28" t="n">
        <v>1338545.62</v>
      </c>
      <c r="S8" s="27" t="n">
        <v>55393</v>
      </c>
      <c r="T8" s="28" t="n">
        <v>1338545.62</v>
      </c>
      <c r="U8" s="27" t="n">
        <v>0</v>
      </c>
      <c r="V8" s="28" t="n">
        <v>0</v>
      </c>
      <c r="W8" s="29" t="b">
        <f aca="false">TRUE()</f>
        <v>1</v>
      </c>
      <c r="X8" s="29" t="b">
        <f aca="false">TRUE()</f>
        <v>1</v>
      </c>
    </row>
    <row r="9" customFormat="false" ht="15" hidden="false" customHeight="true" outlineLevel="0" collapsed="false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69</v>
      </c>
      <c r="G9" s="27" t="n">
        <v>2025</v>
      </c>
      <c r="H9" s="27" t="n">
        <v>47</v>
      </c>
      <c r="I9" s="1" t="s">
        <v>78</v>
      </c>
      <c r="J9" s="1" t="s">
        <v>81</v>
      </c>
      <c r="K9" s="27" t="n">
        <v>904</v>
      </c>
      <c r="L9" s="28" t="n">
        <v>21631.93</v>
      </c>
      <c r="M9" s="27" t="n">
        <v>904</v>
      </c>
      <c r="N9" s="28" t="n">
        <v>21631.93</v>
      </c>
      <c r="O9" s="27" t="n">
        <v>0</v>
      </c>
      <c r="P9" s="28" t="n">
        <v>0</v>
      </c>
      <c r="Q9" s="27" t="n">
        <v>55440</v>
      </c>
      <c r="R9" s="28" t="n">
        <v>1339664.31</v>
      </c>
      <c r="S9" s="27" t="n">
        <v>55440</v>
      </c>
      <c r="T9" s="28" t="n">
        <v>1339664.31</v>
      </c>
      <c r="U9" s="27" t="n">
        <v>0</v>
      </c>
      <c r="V9" s="28" t="n">
        <v>0</v>
      </c>
      <c r="W9" s="29" t="b">
        <f aca="false">TRUE()</f>
        <v>1</v>
      </c>
      <c r="X9" s="29" t="b">
        <f aca="false">TRUE()</f>
        <v>1</v>
      </c>
    </row>
    <row r="10" customFormat="false" ht="15" hidden="false" customHeight="true" outlineLevel="0" collapsed="false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69</v>
      </c>
      <c r="G10" s="27" t="n">
        <v>2025</v>
      </c>
      <c r="H10" s="27" t="n">
        <v>49</v>
      </c>
      <c r="I10" s="1" t="s">
        <v>82</v>
      </c>
      <c r="J10" s="1" t="s">
        <v>83</v>
      </c>
      <c r="K10" s="27" t="n">
        <v>937</v>
      </c>
      <c r="L10" s="28" t="n">
        <v>22394.89</v>
      </c>
      <c r="M10" s="27" t="n">
        <v>937</v>
      </c>
      <c r="N10" s="28" t="n">
        <v>22394.89</v>
      </c>
      <c r="O10" s="27" t="n">
        <v>0</v>
      </c>
      <c r="P10" s="28" t="n">
        <v>0</v>
      </c>
      <c r="Q10" s="27" t="n">
        <v>55628</v>
      </c>
      <c r="R10" s="28" t="n">
        <v>1344181.11</v>
      </c>
      <c r="S10" s="27" t="n">
        <v>55628</v>
      </c>
      <c r="T10" s="28" t="n">
        <v>1344181.11</v>
      </c>
      <c r="U10" s="27" t="n">
        <v>0</v>
      </c>
      <c r="V10" s="28" t="n">
        <v>0</v>
      </c>
      <c r="W10" s="29" t="b">
        <f aca="false">TRUE()</f>
        <v>1</v>
      </c>
      <c r="X10" s="29" t="b">
        <f aca="false">TRUE()</f>
        <v>1</v>
      </c>
    </row>
    <row r="11" customFormat="false" ht="15" hidden="false" customHeight="true" outlineLevel="0" collapsed="false">
      <c r="A11" s="1" t="s">
        <v>84</v>
      </c>
      <c r="B11" s="1" t="s">
        <v>84</v>
      </c>
      <c r="C11" s="1" t="s">
        <v>85</v>
      </c>
      <c r="D11" s="1" t="s">
        <v>86</v>
      </c>
      <c r="E11" s="1" t="s">
        <v>69</v>
      </c>
      <c r="F11" s="1" t="s">
        <v>69</v>
      </c>
      <c r="G11" s="27" t="n">
        <v>2025</v>
      </c>
      <c r="H11" s="27" t="n">
        <v>35</v>
      </c>
      <c r="I11" s="1" t="s">
        <v>70</v>
      </c>
      <c r="J11" s="1" t="s">
        <v>71</v>
      </c>
      <c r="K11" s="27" t="n">
        <v>1078</v>
      </c>
      <c r="L11" s="28" t="n">
        <v>38485.47</v>
      </c>
      <c r="M11" s="27" t="n">
        <v>1078</v>
      </c>
      <c r="N11" s="28" t="n">
        <v>38485.47</v>
      </c>
      <c r="O11" s="27" t="n">
        <v>0</v>
      </c>
      <c r="P11" s="28" t="n">
        <v>0</v>
      </c>
      <c r="Q11" s="27" t="n">
        <v>52305</v>
      </c>
      <c r="R11" s="28" t="n">
        <v>1883720.48</v>
      </c>
      <c r="S11" s="27" t="n">
        <v>52305</v>
      </c>
      <c r="T11" s="28" t="n">
        <v>1883720.48</v>
      </c>
      <c r="U11" s="27" t="n">
        <v>0</v>
      </c>
      <c r="V11" s="28" t="n">
        <v>0</v>
      </c>
      <c r="W11" s="29" t="b">
        <f aca="false">TRUE()</f>
        <v>1</v>
      </c>
      <c r="X11" s="29" t="b">
        <f aca="false">TRUE()</f>
        <v>1</v>
      </c>
    </row>
    <row r="12" customFormat="false" ht="15" hidden="false" customHeight="true" outlineLevel="0" collapsed="false">
      <c r="A12" s="1" t="s">
        <v>84</v>
      </c>
      <c r="B12" s="1" t="s">
        <v>84</v>
      </c>
      <c r="C12" s="1" t="s">
        <v>85</v>
      </c>
      <c r="D12" s="1" t="s">
        <v>86</v>
      </c>
      <c r="E12" s="1" t="s">
        <v>69</v>
      </c>
      <c r="F12" s="1" t="s">
        <v>69</v>
      </c>
      <c r="G12" s="27" t="n">
        <v>2025</v>
      </c>
      <c r="H12" s="27" t="n">
        <v>36</v>
      </c>
      <c r="I12" s="1" t="s">
        <v>72</v>
      </c>
      <c r="J12" s="1" t="s">
        <v>73</v>
      </c>
      <c r="K12" s="27" t="n">
        <v>1061</v>
      </c>
      <c r="L12" s="28" t="n">
        <v>37915</v>
      </c>
      <c r="M12" s="27" t="n">
        <v>1061</v>
      </c>
      <c r="N12" s="28" t="n">
        <v>37915</v>
      </c>
      <c r="O12" s="27" t="n">
        <v>0</v>
      </c>
      <c r="P12" s="28" t="n">
        <v>0</v>
      </c>
      <c r="Q12" s="27" t="n">
        <v>52379</v>
      </c>
      <c r="R12" s="28" t="n">
        <v>1886414.01</v>
      </c>
      <c r="S12" s="27" t="n">
        <v>52379</v>
      </c>
      <c r="T12" s="28" t="n">
        <v>1886414.01</v>
      </c>
      <c r="U12" s="27" t="n">
        <v>0</v>
      </c>
      <c r="V12" s="28" t="n">
        <v>0</v>
      </c>
      <c r="W12" s="29" t="b">
        <f aca="false">TRUE()</f>
        <v>1</v>
      </c>
      <c r="X12" s="29" t="b">
        <f aca="false">TRUE()</f>
        <v>1</v>
      </c>
    </row>
    <row r="13" customFormat="false" ht="15" hidden="false" customHeight="true" outlineLevel="0" collapsed="false">
      <c r="A13" s="1" t="s">
        <v>84</v>
      </c>
      <c r="B13" s="1" t="s">
        <v>84</v>
      </c>
      <c r="C13" s="1" t="s">
        <v>85</v>
      </c>
      <c r="D13" s="1" t="s">
        <v>86</v>
      </c>
      <c r="E13" s="1" t="s">
        <v>69</v>
      </c>
      <c r="F13" s="1" t="s">
        <v>69</v>
      </c>
      <c r="G13" s="27" t="n">
        <v>2025</v>
      </c>
      <c r="H13" s="27" t="n">
        <v>40</v>
      </c>
      <c r="I13" s="1" t="s">
        <v>74</v>
      </c>
      <c r="J13" s="1" t="s">
        <v>75</v>
      </c>
      <c r="K13" s="27" t="n">
        <v>992</v>
      </c>
      <c r="L13" s="28" t="n">
        <v>35508.51</v>
      </c>
      <c r="M13" s="27" t="n">
        <v>992</v>
      </c>
      <c r="N13" s="28" t="n">
        <v>35508.51</v>
      </c>
      <c r="O13" s="27" t="n">
        <v>0</v>
      </c>
      <c r="P13" s="28" t="n">
        <v>0</v>
      </c>
      <c r="Q13" s="27" t="n">
        <v>52780</v>
      </c>
      <c r="R13" s="28" t="n">
        <v>1900969.12</v>
      </c>
      <c r="S13" s="27" t="n">
        <v>52780</v>
      </c>
      <c r="T13" s="28" t="n">
        <v>1900969.12</v>
      </c>
      <c r="U13" s="27" t="n">
        <v>0</v>
      </c>
      <c r="V13" s="28" t="n">
        <v>0</v>
      </c>
      <c r="W13" s="29" t="b">
        <f aca="false">TRUE()</f>
        <v>1</v>
      </c>
      <c r="X13" s="29" t="b">
        <f aca="false">TRUE()</f>
        <v>1</v>
      </c>
    </row>
    <row r="14" customFormat="false" ht="15" hidden="false" customHeight="true" outlineLevel="0" collapsed="false">
      <c r="A14" s="1" t="s">
        <v>84</v>
      </c>
      <c r="B14" s="1" t="s">
        <v>84</v>
      </c>
      <c r="C14" s="1" t="s">
        <v>85</v>
      </c>
      <c r="D14" s="1" t="s">
        <v>86</v>
      </c>
      <c r="E14" s="1" t="s">
        <v>69</v>
      </c>
      <c r="F14" s="1" t="s">
        <v>69</v>
      </c>
      <c r="G14" s="27" t="n">
        <v>2025</v>
      </c>
      <c r="H14" s="27" t="n">
        <v>41</v>
      </c>
      <c r="I14" s="1" t="s">
        <v>74</v>
      </c>
      <c r="J14" s="1" t="s">
        <v>76</v>
      </c>
      <c r="K14" s="27" t="n">
        <v>995</v>
      </c>
      <c r="L14" s="28" t="n">
        <v>35546.27</v>
      </c>
      <c r="M14" s="27" t="n">
        <v>995</v>
      </c>
      <c r="N14" s="28" t="n">
        <v>35546.27</v>
      </c>
      <c r="O14" s="27" t="n">
        <v>0</v>
      </c>
      <c r="P14" s="28" t="n">
        <v>0</v>
      </c>
      <c r="Q14" s="27" t="n">
        <v>52742</v>
      </c>
      <c r="R14" s="28" t="n">
        <v>1899712.77</v>
      </c>
      <c r="S14" s="27" t="n">
        <v>52742</v>
      </c>
      <c r="T14" s="28" t="n">
        <v>1899712.77</v>
      </c>
      <c r="U14" s="27" t="n">
        <v>0</v>
      </c>
      <c r="V14" s="28" t="n">
        <v>0</v>
      </c>
      <c r="W14" s="29" t="b">
        <f aca="false">TRUE()</f>
        <v>1</v>
      </c>
      <c r="X14" s="29" t="b">
        <f aca="false">TRUE()</f>
        <v>1</v>
      </c>
    </row>
    <row r="15" customFormat="false" ht="15" hidden="false" customHeight="true" outlineLevel="0" collapsed="false">
      <c r="A15" s="1" t="s">
        <v>84</v>
      </c>
      <c r="B15" s="1" t="s">
        <v>84</v>
      </c>
      <c r="C15" s="1" t="s">
        <v>85</v>
      </c>
      <c r="D15" s="1" t="s">
        <v>86</v>
      </c>
      <c r="E15" s="1" t="s">
        <v>69</v>
      </c>
      <c r="F15" s="1" t="s">
        <v>69</v>
      </c>
      <c r="G15" s="27" t="n">
        <v>2025</v>
      </c>
      <c r="H15" s="27" t="n">
        <v>43</v>
      </c>
      <c r="I15" s="1" t="s">
        <v>74</v>
      </c>
      <c r="J15" s="1" t="s">
        <v>77</v>
      </c>
      <c r="K15" s="27" t="n">
        <v>1016</v>
      </c>
      <c r="L15" s="28" t="n">
        <v>36345.56</v>
      </c>
      <c r="M15" s="27" t="n">
        <v>1016</v>
      </c>
      <c r="N15" s="28" t="n">
        <v>36345.56</v>
      </c>
      <c r="O15" s="27" t="n">
        <v>0</v>
      </c>
      <c r="P15" s="28" t="n">
        <v>0</v>
      </c>
      <c r="Q15" s="27" t="n">
        <v>52863</v>
      </c>
      <c r="R15" s="28" t="n">
        <v>1903955.67</v>
      </c>
      <c r="S15" s="27" t="n">
        <v>52863</v>
      </c>
      <c r="T15" s="28" t="n">
        <v>1903955.67</v>
      </c>
      <c r="U15" s="27" t="n">
        <v>0</v>
      </c>
      <c r="V15" s="28" t="n">
        <v>0</v>
      </c>
      <c r="W15" s="29" t="b">
        <f aca="false">TRUE()</f>
        <v>1</v>
      </c>
      <c r="X15" s="29" t="b">
        <f aca="false">TRUE()</f>
        <v>1</v>
      </c>
    </row>
    <row r="16" customFormat="false" ht="15" hidden="false" customHeight="true" outlineLevel="0" collapsed="false">
      <c r="A16" s="1" t="s">
        <v>84</v>
      </c>
      <c r="B16" s="1" t="s">
        <v>84</v>
      </c>
      <c r="C16" s="1" t="s">
        <v>85</v>
      </c>
      <c r="D16" s="1" t="s">
        <v>86</v>
      </c>
      <c r="E16" s="1" t="s">
        <v>69</v>
      </c>
      <c r="F16" s="1" t="s">
        <v>69</v>
      </c>
      <c r="G16" s="27" t="n">
        <v>2025</v>
      </c>
      <c r="H16" s="27" t="n">
        <v>44</v>
      </c>
      <c r="I16" s="1" t="s">
        <v>78</v>
      </c>
      <c r="J16" s="1" t="s">
        <v>79</v>
      </c>
      <c r="K16" s="27" t="n">
        <v>955</v>
      </c>
      <c r="L16" s="28" t="n">
        <v>34094.74</v>
      </c>
      <c r="M16" s="27" t="n">
        <v>955</v>
      </c>
      <c r="N16" s="28" t="n">
        <v>34094.74</v>
      </c>
      <c r="O16" s="27" t="n">
        <v>0</v>
      </c>
      <c r="P16" s="28" t="n">
        <v>0</v>
      </c>
      <c r="Q16" s="27" t="n">
        <v>52902</v>
      </c>
      <c r="R16" s="28" t="n">
        <v>1905364.07</v>
      </c>
      <c r="S16" s="27" t="n">
        <v>52902</v>
      </c>
      <c r="T16" s="28" t="n">
        <v>1905364.07</v>
      </c>
      <c r="U16" s="27" t="n">
        <v>0</v>
      </c>
      <c r="V16" s="28" t="n">
        <v>0</v>
      </c>
      <c r="W16" s="29" t="b">
        <f aca="false">TRUE()</f>
        <v>1</v>
      </c>
      <c r="X16" s="29" t="b">
        <f aca="false">TRUE()</f>
        <v>1</v>
      </c>
    </row>
    <row r="17" customFormat="false" ht="15" hidden="false" customHeight="true" outlineLevel="0" collapsed="false">
      <c r="A17" s="1" t="s">
        <v>84</v>
      </c>
      <c r="B17" s="1" t="s">
        <v>84</v>
      </c>
      <c r="C17" s="1" t="s">
        <v>85</v>
      </c>
      <c r="D17" s="1" t="s">
        <v>86</v>
      </c>
      <c r="E17" s="1" t="s">
        <v>69</v>
      </c>
      <c r="F17" s="1" t="s">
        <v>69</v>
      </c>
      <c r="G17" s="27" t="n">
        <v>2025</v>
      </c>
      <c r="H17" s="27" t="n">
        <v>46</v>
      </c>
      <c r="I17" s="1" t="s">
        <v>78</v>
      </c>
      <c r="J17" s="1" t="s">
        <v>80</v>
      </c>
      <c r="K17" s="27" t="n">
        <v>938</v>
      </c>
      <c r="L17" s="28" t="n">
        <v>33534.94</v>
      </c>
      <c r="M17" s="27" t="n">
        <v>938</v>
      </c>
      <c r="N17" s="28" t="n">
        <v>33534.94</v>
      </c>
      <c r="O17" s="27" t="n">
        <v>0</v>
      </c>
      <c r="P17" s="28" t="n">
        <v>0</v>
      </c>
      <c r="Q17" s="27" t="n">
        <v>53094</v>
      </c>
      <c r="R17" s="28" t="n">
        <v>1912164.54</v>
      </c>
      <c r="S17" s="27" t="n">
        <v>53094</v>
      </c>
      <c r="T17" s="28" t="n">
        <v>1912164.54</v>
      </c>
      <c r="U17" s="27" t="n">
        <v>0</v>
      </c>
      <c r="V17" s="28" t="n">
        <v>0</v>
      </c>
      <c r="W17" s="29" t="b">
        <f aca="false">TRUE()</f>
        <v>1</v>
      </c>
      <c r="X17" s="29" t="b">
        <f aca="false">TRUE()</f>
        <v>1</v>
      </c>
    </row>
    <row r="18" customFormat="false" ht="15" hidden="false" customHeight="true" outlineLevel="0" collapsed="false">
      <c r="A18" s="1" t="s">
        <v>84</v>
      </c>
      <c r="B18" s="1" t="s">
        <v>84</v>
      </c>
      <c r="C18" s="1" t="s">
        <v>85</v>
      </c>
      <c r="D18" s="1" t="s">
        <v>86</v>
      </c>
      <c r="E18" s="1" t="s">
        <v>69</v>
      </c>
      <c r="F18" s="1" t="s">
        <v>69</v>
      </c>
      <c r="G18" s="27" t="n">
        <v>2025</v>
      </c>
      <c r="H18" s="27" t="n">
        <v>47</v>
      </c>
      <c r="I18" s="1" t="s">
        <v>78</v>
      </c>
      <c r="J18" s="1" t="s">
        <v>81</v>
      </c>
      <c r="K18" s="27" t="n">
        <v>838</v>
      </c>
      <c r="L18" s="28" t="n">
        <v>29943.4</v>
      </c>
      <c r="M18" s="27" t="n">
        <v>838</v>
      </c>
      <c r="N18" s="28" t="n">
        <v>29943.4</v>
      </c>
      <c r="O18" s="27" t="n">
        <v>0</v>
      </c>
      <c r="P18" s="28" t="n">
        <v>0</v>
      </c>
      <c r="Q18" s="27" t="n">
        <v>53069</v>
      </c>
      <c r="R18" s="28" t="n">
        <v>1911236.69</v>
      </c>
      <c r="S18" s="27" t="n">
        <v>53069</v>
      </c>
      <c r="T18" s="28" t="n">
        <v>1911236.69</v>
      </c>
      <c r="U18" s="27" t="n">
        <v>0</v>
      </c>
      <c r="V18" s="28" t="n">
        <v>0</v>
      </c>
      <c r="W18" s="29" t="b">
        <f aca="false">TRUE()</f>
        <v>1</v>
      </c>
      <c r="X18" s="29" t="b">
        <f aca="false">TRUE()</f>
        <v>1</v>
      </c>
    </row>
    <row r="19" customFormat="false" ht="15" hidden="false" customHeight="true" outlineLevel="0" collapsed="false">
      <c r="A19" s="1" t="s">
        <v>84</v>
      </c>
      <c r="B19" s="1" t="s">
        <v>84</v>
      </c>
      <c r="C19" s="1" t="s">
        <v>85</v>
      </c>
      <c r="D19" s="1" t="s">
        <v>86</v>
      </c>
      <c r="E19" s="1" t="s">
        <v>69</v>
      </c>
      <c r="F19" s="1" t="s">
        <v>69</v>
      </c>
      <c r="G19" s="27" t="n">
        <v>2025</v>
      </c>
      <c r="H19" s="27" t="n">
        <v>49</v>
      </c>
      <c r="I19" s="1" t="s">
        <v>82</v>
      </c>
      <c r="J19" s="1" t="s">
        <v>83</v>
      </c>
      <c r="K19" s="27" t="n">
        <v>906</v>
      </c>
      <c r="L19" s="28" t="n">
        <v>32314.8</v>
      </c>
      <c r="M19" s="27" t="n">
        <v>906</v>
      </c>
      <c r="N19" s="28" t="n">
        <v>32314.8</v>
      </c>
      <c r="O19" s="27" t="n">
        <v>0</v>
      </c>
      <c r="P19" s="28" t="n">
        <v>0</v>
      </c>
      <c r="Q19" s="27" t="n">
        <v>53078</v>
      </c>
      <c r="R19" s="28" t="n">
        <v>1911448.12</v>
      </c>
      <c r="S19" s="27" t="n">
        <v>53078</v>
      </c>
      <c r="T19" s="28" t="n">
        <v>1911448.12</v>
      </c>
      <c r="U19" s="27" t="n">
        <v>0</v>
      </c>
      <c r="V19" s="28" t="n">
        <v>0</v>
      </c>
      <c r="W19" s="29" t="b">
        <f aca="false">TRUE()</f>
        <v>1</v>
      </c>
      <c r="X19" s="29" t="b">
        <f aca="false">TRUE()</f>
        <v>1</v>
      </c>
    </row>
    <row r="20" customFormat="false" ht="15" hidden="false" customHeight="true" outlineLevel="0" collapsed="false">
      <c r="A20" s="1" t="s">
        <v>87</v>
      </c>
      <c r="B20" s="1" t="s">
        <v>87</v>
      </c>
      <c r="C20" s="1" t="s">
        <v>85</v>
      </c>
      <c r="D20" s="1" t="s">
        <v>88</v>
      </c>
      <c r="E20" s="1" t="s">
        <v>89</v>
      </c>
      <c r="F20" s="1" t="s">
        <v>89</v>
      </c>
      <c r="G20" s="27" t="n">
        <v>2025</v>
      </c>
      <c r="H20" s="27" t="n">
        <v>35</v>
      </c>
      <c r="I20" s="1" t="s">
        <v>70</v>
      </c>
      <c r="J20" s="1" t="s">
        <v>71</v>
      </c>
      <c r="K20" s="27" t="n">
        <v>8</v>
      </c>
      <c r="L20" s="28" t="n">
        <v>261.24</v>
      </c>
      <c r="M20" s="27" t="n">
        <v>8</v>
      </c>
      <c r="N20" s="28" t="n">
        <v>261.24</v>
      </c>
      <c r="O20" s="27" t="n">
        <v>0</v>
      </c>
      <c r="P20" s="28" t="n">
        <v>0</v>
      </c>
      <c r="Q20" s="27" t="n">
        <v>2438</v>
      </c>
      <c r="R20" s="28" t="n">
        <v>104074.98</v>
      </c>
      <c r="S20" s="27" t="n">
        <v>2438</v>
      </c>
      <c r="T20" s="28" t="n">
        <v>104074.98</v>
      </c>
      <c r="U20" s="27" t="n">
        <v>0</v>
      </c>
      <c r="V20" s="28" t="n">
        <v>0</v>
      </c>
      <c r="W20" s="29" t="b">
        <f aca="false">TRUE()</f>
        <v>1</v>
      </c>
      <c r="X20" s="29" t="b">
        <f aca="false">TRUE()</f>
        <v>1</v>
      </c>
    </row>
    <row r="21" customFormat="false" ht="15" hidden="false" customHeight="true" outlineLevel="0" collapsed="false">
      <c r="A21" s="1" t="s">
        <v>87</v>
      </c>
      <c r="B21" s="1" t="s">
        <v>87</v>
      </c>
      <c r="C21" s="1" t="s">
        <v>85</v>
      </c>
      <c r="D21" s="1" t="s">
        <v>88</v>
      </c>
      <c r="E21" s="1" t="s">
        <v>89</v>
      </c>
      <c r="F21" s="1" t="s">
        <v>89</v>
      </c>
      <c r="G21" s="27" t="n">
        <v>2025</v>
      </c>
      <c r="H21" s="27" t="n">
        <v>36</v>
      </c>
      <c r="I21" s="1" t="s">
        <v>72</v>
      </c>
      <c r="J21" s="1" t="s">
        <v>73</v>
      </c>
      <c r="K21" s="27" t="n">
        <v>7</v>
      </c>
      <c r="L21" s="28" t="n">
        <v>249.82</v>
      </c>
      <c r="M21" s="27" t="n">
        <v>7</v>
      </c>
      <c r="N21" s="28" t="n">
        <v>249.82</v>
      </c>
      <c r="O21" s="27" t="n">
        <v>0</v>
      </c>
      <c r="P21" s="28" t="n">
        <v>0</v>
      </c>
      <c r="Q21" s="27" t="n">
        <v>2408</v>
      </c>
      <c r="R21" s="28" t="n">
        <v>102298.27</v>
      </c>
      <c r="S21" s="27" t="n">
        <v>2408</v>
      </c>
      <c r="T21" s="28" t="n">
        <v>102298.27</v>
      </c>
      <c r="U21" s="27" t="n">
        <v>0</v>
      </c>
      <c r="V21" s="28" t="n">
        <v>0</v>
      </c>
      <c r="W21" s="29" t="b">
        <f aca="false">TRUE()</f>
        <v>1</v>
      </c>
      <c r="X21" s="29" t="b">
        <f aca="false">TRUE()</f>
        <v>1</v>
      </c>
    </row>
    <row r="22" customFormat="false" ht="15" hidden="false" customHeight="true" outlineLevel="0" collapsed="false">
      <c r="A22" s="1" t="s">
        <v>87</v>
      </c>
      <c r="B22" s="1" t="s">
        <v>87</v>
      </c>
      <c r="C22" s="1" t="s">
        <v>85</v>
      </c>
      <c r="D22" s="1" t="s">
        <v>88</v>
      </c>
      <c r="E22" s="1" t="s">
        <v>89</v>
      </c>
      <c r="F22" s="1" t="s">
        <v>89</v>
      </c>
      <c r="G22" s="27" t="n">
        <v>2025</v>
      </c>
      <c r="H22" s="27" t="n">
        <v>40</v>
      </c>
      <c r="I22" s="1" t="s">
        <v>74</v>
      </c>
      <c r="J22" s="1" t="s">
        <v>75</v>
      </c>
      <c r="K22" s="27" t="n">
        <v>2</v>
      </c>
      <c r="L22" s="28" t="n">
        <v>48.19</v>
      </c>
      <c r="M22" s="27" t="n">
        <v>2</v>
      </c>
      <c r="N22" s="28" t="n">
        <v>48.19</v>
      </c>
      <c r="O22" s="27" t="n">
        <v>0</v>
      </c>
      <c r="P22" s="28" t="n">
        <v>0</v>
      </c>
      <c r="Q22" s="27" t="n">
        <v>2103</v>
      </c>
      <c r="R22" s="28" t="n">
        <v>88570.35</v>
      </c>
      <c r="S22" s="27" t="n">
        <v>2103</v>
      </c>
      <c r="T22" s="28" t="n">
        <v>88570.35</v>
      </c>
      <c r="U22" s="27" t="n">
        <v>0</v>
      </c>
      <c r="V22" s="28" t="n">
        <v>0</v>
      </c>
      <c r="W22" s="29" t="b">
        <f aca="false">TRUE()</f>
        <v>1</v>
      </c>
      <c r="X22" s="29" t="b">
        <f aca="false">TRUE()</f>
        <v>1</v>
      </c>
    </row>
    <row r="23" customFormat="false" ht="15" hidden="false" customHeight="true" outlineLevel="0" collapsed="false">
      <c r="A23" s="1" t="s">
        <v>87</v>
      </c>
      <c r="B23" s="1" t="s">
        <v>87</v>
      </c>
      <c r="C23" s="1" t="s">
        <v>85</v>
      </c>
      <c r="D23" s="1" t="s">
        <v>88</v>
      </c>
      <c r="E23" s="1" t="s">
        <v>89</v>
      </c>
      <c r="F23" s="1" t="s">
        <v>89</v>
      </c>
      <c r="G23" s="27" t="n">
        <v>2025</v>
      </c>
      <c r="H23" s="27" t="n">
        <v>41</v>
      </c>
      <c r="I23" s="1" t="s">
        <v>74</v>
      </c>
      <c r="J23" s="1" t="s">
        <v>76</v>
      </c>
      <c r="K23" s="27" t="n">
        <v>7</v>
      </c>
      <c r="L23" s="28" t="n">
        <v>226.04</v>
      </c>
      <c r="M23" s="27" t="n">
        <v>7</v>
      </c>
      <c r="N23" s="28" t="n">
        <v>226.04</v>
      </c>
      <c r="O23" s="27" t="n">
        <v>0</v>
      </c>
      <c r="P23" s="28" t="n">
        <v>0</v>
      </c>
      <c r="Q23" s="27" t="n">
        <v>2031</v>
      </c>
      <c r="R23" s="28" t="n">
        <v>85587.78</v>
      </c>
      <c r="S23" s="27" t="n">
        <v>2031</v>
      </c>
      <c r="T23" s="28" t="n">
        <v>85587.78</v>
      </c>
      <c r="U23" s="27" t="n">
        <v>0</v>
      </c>
      <c r="V23" s="28" t="n">
        <v>0</v>
      </c>
      <c r="W23" s="29" t="b">
        <f aca="false">TRUE()</f>
        <v>1</v>
      </c>
      <c r="X23" s="29" t="b">
        <f aca="false">TRUE()</f>
        <v>1</v>
      </c>
    </row>
    <row r="24" customFormat="false" ht="15" hidden="false" customHeight="true" outlineLevel="0" collapsed="false">
      <c r="A24" s="1" t="s">
        <v>87</v>
      </c>
      <c r="B24" s="1" t="s">
        <v>87</v>
      </c>
      <c r="C24" s="1" t="s">
        <v>85</v>
      </c>
      <c r="D24" s="1" t="s">
        <v>88</v>
      </c>
      <c r="E24" s="1" t="s">
        <v>89</v>
      </c>
      <c r="F24" s="1" t="s">
        <v>89</v>
      </c>
      <c r="G24" s="27" t="n">
        <v>2025</v>
      </c>
      <c r="H24" s="27" t="n">
        <v>43</v>
      </c>
      <c r="I24" s="1" t="s">
        <v>74</v>
      </c>
      <c r="J24" s="1" t="s">
        <v>77</v>
      </c>
      <c r="K24" s="27" t="n">
        <v>7</v>
      </c>
      <c r="L24" s="28" t="n">
        <v>252.94</v>
      </c>
      <c r="M24" s="27" t="n">
        <v>7</v>
      </c>
      <c r="N24" s="28" t="n">
        <v>252.94</v>
      </c>
      <c r="O24" s="27" t="n">
        <v>0</v>
      </c>
      <c r="P24" s="28" t="n">
        <v>0</v>
      </c>
      <c r="Q24" s="27" t="n">
        <v>1956</v>
      </c>
      <c r="R24" s="28" t="n">
        <v>81260.75</v>
      </c>
      <c r="S24" s="27" t="n">
        <v>1956</v>
      </c>
      <c r="T24" s="28" t="n">
        <v>81260.75</v>
      </c>
      <c r="U24" s="27" t="n">
        <v>0</v>
      </c>
      <c r="V24" s="28" t="n">
        <v>0</v>
      </c>
      <c r="W24" s="29" t="b">
        <f aca="false">TRUE()</f>
        <v>1</v>
      </c>
      <c r="X24" s="29" t="b">
        <f aca="false">TRUE()</f>
        <v>1</v>
      </c>
    </row>
    <row r="25" customFormat="false" ht="15" hidden="false" customHeight="true" outlineLevel="0" collapsed="false">
      <c r="A25" s="1" t="s">
        <v>87</v>
      </c>
      <c r="B25" s="1" t="s">
        <v>87</v>
      </c>
      <c r="C25" s="1" t="s">
        <v>85</v>
      </c>
      <c r="D25" s="1" t="s">
        <v>88</v>
      </c>
      <c r="E25" s="1" t="s">
        <v>89</v>
      </c>
      <c r="F25" s="1" t="s">
        <v>89</v>
      </c>
      <c r="G25" s="27" t="n">
        <v>2025</v>
      </c>
      <c r="H25" s="27" t="n">
        <v>44</v>
      </c>
      <c r="I25" s="1" t="s">
        <v>78</v>
      </c>
      <c r="J25" s="1" t="s">
        <v>79</v>
      </c>
      <c r="K25" s="27" t="n">
        <v>7</v>
      </c>
      <c r="L25" s="28" t="n">
        <v>218.14</v>
      </c>
      <c r="M25" s="27" t="n">
        <v>7</v>
      </c>
      <c r="N25" s="28" t="n">
        <v>218.14</v>
      </c>
      <c r="O25" s="27" t="n">
        <v>0</v>
      </c>
      <c r="P25" s="28" t="n">
        <v>0</v>
      </c>
      <c r="Q25" s="27" t="n">
        <v>1935</v>
      </c>
      <c r="R25" s="28" t="n">
        <v>79875.75</v>
      </c>
      <c r="S25" s="27" t="n">
        <v>1935</v>
      </c>
      <c r="T25" s="28" t="n">
        <v>79875.75</v>
      </c>
      <c r="U25" s="27" t="n">
        <v>0</v>
      </c>
      <c r="V25" s="28" t="n">
        <v>0</v>
      </c>
      <c r="W25" s="29" t="b">
        <f aca="false">TRUE()</f>
        <v>1</v>
      </c>
      <c r="X25" s="29" t="b">
        <f aca="false">TRUE()</f>
        <v>1</v>
      </c>
    </row>
    <row r="26" customFormat="false" ht="15" hidden="false" customHeight="true" outlineLevel="0" collapsed="false">
      <c r="A26" s="1" t="s">
        <v>87</v>
      </c>
      <c r="B26" s="1" t="s">
        <v>87</v>
      </c>
      <c r="C26" s="1" t="s">
        <v>85</v>
      </c>
      <c r="D26" s="1" t="s">
        <v>88</v>
      </c>
      <c r="E26" s="1" t="s">
        <v>89</v>
      </c>
      <c r="F26" s="1" t="s">
        <v>89</v>
      </c>
      <c r="G26" s="27" t="n">
        <v>2025</v>
      </c>
      <c r="H26" s="27" t="n">
        <v>46</v>
      </c>
      <c r="I26" s="1" t="s">
        <v>78</v>
      </c>
      <c r="J26" s="1" t="s">
        <v>80</v>
      </c>
      <c r="K26" s="27" t="n">
        <v>7</v>
      </c>
      <c r="L26" s="28" t="n">
        <v>249.54</v>
      </c>
      <c r="M26" s="27" t="n">
        <v>7</v>
      </c>
      <c r="N26" s="28" t="n">
        <v>249.54</v>
      </c>
      <c r="O26" s="27" t="n">
        <v>0</v>
      </c>
      <c r="P26" s="28" t="n">
        <v>0</v>
      </c>
      <c r="Q26" s="27" t="n">
        <v>1863</v>
      </c>
      <c r="R26" s="28" t="n">
        <v>75556.06</v>
      </c>
      <c r="S26" s="27" t="n">
        <v>1863</v>
      </c>
      <c r="T26" s="28" t="n">
        <v>75556.06</v>
      </c>
      <c r="U26" s="27" t="n">
        <v>0</v>
      </c>
      <c r="V26" s="28" t="n">
        <v>0</v>
      </c>
      <c r="W26" s="29" t="b">
        <f aca="false">TRUE()</f>
        <v>1</v>
      </c>
      <c r="X26" s="29" t="b">
        <f aca="false">TRUE()</f>
        <v>1</v>
      </c>
    </row>
    <row r="27" customFormat="false" ht="15" hidden="false" customHeight="true" outlineLevel="0" collapsed="false">
      <c r="A27" s="1" t="s">
        <v>87</v>
      </c>
      <c r="B27" s="1" t="s">
        <v>87</v>
      </c>
      <c r="C27" s="1" t="s">
        <v>85</v>
      </c>
      <c r="D27" s="1" t="s">
        <v>88</v>
      </c>
      <c r="E27" s="1" t="s">
        <v>89</v>
      </c>
      <c r="F27" s="1" t="s">
        <v>89</v>
      </c>
      <c r="G27" s="27" t="n">
        <v>2025</v>
      </c>
      <c r="H27" s="27" t="n">
        <v>47</v>
      </c>
      <c r="I27" s="1" t="s">
        <v>78</v>
      </c>
      <c r="J27" s="1" t="s">
        <v>81</v>
      </c>
      <c r="K27" s="27" t="n">
        <v>3</v>
      </c>
      <c r="L27" s="28" t="n">
        <v>92.07</v>
      </c>
      <c r="M27" s="27" t="n">
        <v>3</v>
      </c>
      <c r="N27" s="28" t="n">
        <v>92.07</v>
      </c>
      <c r="O27" s="27" t="n">
        <v>0</v>
      </c>
      <c r="P27" s="28" t="n">
        <v>0</v>
      </c>
      <c r="Q27" s="27" t="n">
        <v>1836</v>
      </c>
      <c r="R27" s="28" t="n">
        <v>73909.03</v>
      </c>
      <c r="S27" s="27" t="n">
        <v>1836</v>
      </c>
      <c r="T27" s="28" t="n">
        <v>73909.03</v>
      </c>
      <c r="U27" s="27" t="n">
        <v>0</v>
      </c>
      <c r="V27" s="28" t="n">
        <v>0</v>
      </c>
      <c r="W27" s="29" t="b">
        <f aca="false">TRUE()</f>
        <v>1</v>
      </c>
      <c r="X27" s="29" t="b">
        <f aca="false">TRUE()</f>
        <v>1</v>
      </c>
    </row>
    <row r="28" customFormat="false" ht="15" hidden="false" customHeight="true" outlineLevel="0" collapsed="false">
      <c r="A28" s="1" t="s">
        <v>87</v>
      </c>
      <c r="B28" s="1" t="s">
        <v>87</v>
      </c>
      <c r="C28" s="1" t="s">
        <v>85</v>
      </c>
      <c r="D28" s="1" t="s">
        <v>88</v>
      </c>
      <c r="E28" s="1" t="s">
        <v>89</v>
      </c>
      <c r="F28" s="1" t="s">
        <v>89</v>
      </c>
      <c r="G28" s="27" t="n">
        <v>2025</v>
      </c>
      <c r="H28" s="27" t="n">
        <v>49</v>
      </c>
      <c r="I28" s="1" t="s">
        <v>82</v>
      </c>
      <c r="J28" s="1" t="s">
        <v>83</v>
      </c>
      <c r="K28" s="27" t="n">
        <v>6</v>
      </c>
      <c r="L28" s="28" t="n">
        <v>135.47</v>
      </c>
      <c r="M28" s="27" t="n">
        <v>6</v>
      </c>
      <c r="N28" s="28" t="n">
        <v>135.47</v>
      </c>
      <c r="O28" s="27" t="n">
        <v>0</v>
      </c>
      <c r="P28" s="28" t="n">
        <v>0</v>
      </c>
      <c r="Q28" s="27" t="n">
        <v>1788</v>
      </c>
      <c r="R28" s="28" t="n">
        <v>70714.25</v>
      </c>
      <c r="S28" s="27" t="n">
        <v>1788</v>
      </c>
      <c r="T28" s="28" t="n">
        <v>70714.25</v>
      </c>
      <c r="U28" s="27" t="n">
        <v>0</v>
      </c>
      <c r="V28" s="28" t="n">
        <v>0</v>
      </c>
      <c r="W28" s="29" t="b">
        <f aca="false">TRUE()</f>
        <v>1</v>
      </c>
      <c r="X28" s="29" t="b">
        <f aca="false">TRUE()</f>
        <v>1</v>
      </c>
    </row>
    <row r="29" customFormat="false" ht="15" hidden="false" customHeight="true" outlineLevel="0" collapsed="false">
      <c r="A29" s="1" t="s">
        <v>90</v>
      </c>
      <c r="B29" s="1" t="s">
        <v>90</v>
      </c>
      <c r="C29" s="1" t="s">
        <v>85</v>
      </c>
      <c r="D29" s="1" t="s">
        <v>91</v>
      </c>
      <c r="E29" s="1" t="s">
        <v>89</v>
      </c>
      <c r="F29" s="1" t="s">
        <v>89</v>
      </c>
      <c r="G29" s="27" t="n">
        <v>2025</v>
      </c>
      <c r="H29" s="27" t="n">
        <v>35</v>
      </c>
      <c r="I29" s="1" t="s">
        <v>70</v>
      </c>
      <c r="J29" s="1" t="s">
        <v>71</v>
      </c>
      <c r="K29" s="27" t="n">
        <v>149</v>
      </c>
      <c r="L29" s="28" t="n">
        <v>10287.82</v>
      </c>
      <c r="M29" s="27" t="n">
        <v>149</v>
      </c>
      <c r="N29" s="28" t="n">
        <v>10287.82</v>
      </c>
      <c r="O29" s="27" t="n">
        <v>0</v>
      </c>
      <c r="P29" s="28" t="n">
        <v>0</v>
      </c>
      <c r="Q29" s="27" t="n">
        <v>3879</v>
      </c>
      <c r="R29" s="28" t="n">
        <v>293882.43</v>
      </c>
      <c r="S29" s="27" t="n">
        <v>3879</v>
      </c>
      <c r="T29" s="28" t="n">
        <v>293882.43</v>
      </c>
      <c r="U29" s="27" t="n">
        <v>0</v>
      </c>
      <c r="V29" s="28" t="n">
        <v>0</v>
      </c>
      <c r="W29" s="29" t="b">
        <f aca="false">TRUE()</f>
        <v>1</v>
      </c>
      <c r="X29" s="29" t="b">
        <f aca="false">TRUE()</f>
        <v>1</v>
      </c>
    </row>
    <row r="30" customFormat="false" ht="15" hidden="false" customHeight="true" outlineLevel="0" collapsed="false">
      <c r="A30" s="1" t="s">
        <v>90</v>
      </c>
      <c r="B30" s="1" t="s">
        <v>90</v>
      </c>
      <c r="C30" s="1" t="s">
        <v>85</v>
      </c>
      <c r="D30" s="1" t="s">
        <v>91</v>
      </c>
      <c r="E30" s="1" t="s">
        <v>89</v>
      </c>
      <c r="F30" s="1" t="s">
        <v>89</v>
      </c>
      <c r="G30" s="27" t="n">
        <v>2025</v>
      </c>
      <c r="H30" s="27" t="n">
        <v>36</v>
      </c>
      <c r="I30" s="1" t="s">
        <v>72</v>
      </c>
      <c r="J30" s="1" t="s">
        <v>73</v>
      </c>
      <c r="K30" s="27" t="n">
        <v>126</v>
      </c>
      <c r="L30" s="28" t="n">
        <v>8703.82</v>
      </c>
      <c r="M30" s="27" t="n">
        <v>126</v>
      </c>
      <c r="N30" s="28" t="n">
        <v>8703.82</v>
      </c>
      <c r="O30" s="27" t="n">
        <v>0</v>
      </c>
      <c r="P30" s="28" t="n">
        <v>0</v>
      </c>
      <c r="Q30" s="27" t="n">
        <v>3958</v>
      </c>
      <c r="R30" s="28" t="n">
        <v>297713.12</v>
      </c>
      <c r="S30" s="27" t="n">
        <v>3958</v>
      </c>
      <c r="T30" s="28" t="n">
        <v>297713.12</v>
      </c>
      <c r="U30" s="27" t="n">
        <v>0</v>
      </c>
      <c r="V30" s="28" t="n">
        <v>0</v>
      </c>
      <c r="W30" s="29" t="b">
        <f aca="false">TRUE()</f>
        <v>1</v>
      </c>
      <c r="X30" s="29" t="b">
        <f aca="false">TRUE()</f>
        <v>1</v>
      </c>
    </row>
    <row r="31" customFormat="false" ht="15" hidden="false" customHeight="true" outlineLevel="0" collapsed="false">
      <c r="A31" s="1" t="s">
        <v>90</v>
      </c>
      <c r="B31" s="1" t="s">
        <v>90</v>
      </c>
      <c r="C31" s="1" t="s">
        <v>85</v>
      </c>
      <c r="D31" s="1" t="s">
        <v>91</v>
      </c>
      <c r="E31" s="1" t="s">
        <v>89</v>
      </c>
      <c r="F31" s="1" t="s">
        <v>89</v>
      </c>
      <c r="G31" s="27" t="n">
        <v>2025</v>
      </c>
      <c r="H31" s="27" t="n">
        <v>40</v>
      </c>
      <c r="I31" s="1" t="s">
        <v>74</v>
      </c>
      <c r="J31" s="1" t="s">
        <v>75</v>
      </c>
      <c r="K31" s="27" t="n">
        <v>127</v>
      </c>
      <c r="L31" s="28" t="n">
        <v>8777.14</v>
      </c>
      <c r="M31" s="27" t="n">
        <v>127</v>
      </c>
      <c r="N31" s="28" t="n">
        <v>8777.14</v>
      </c>
      <c r="O31" s="27" t="n">
        <v>0</v>
      </c>
      <c r="P31" s="28" t="n">
        <v>0</v>
      </c>
      <c r="Q31" s="27" t="n">
        <v>4270</v>
      </c>
      <c r="R31" s="28" t="n">
        <v>313343.78</v>
      </c>
      <c r="S31" s="27" t="n">
        <v>4270</v>
      </c>
      <c r="T31" s="28" t="n">
        <v>313343.78</v>
      </c>
      <c r="U31" s="27" t="n">
        <v>0</v>
      </c>
      <c r="V31" s="28" t="n">
        <v>0</v>
      </c>
      <c r="W31" s="29" t="b">
        <f aca="false">TRUE()</f>
        <v>1</v>
      </c>
      <c r="X31" s="29" t="b">
        <f aca="false">TRUE()</f>
        <v>1</v>
      </c>
    </row>
    <row r="32" customFormat="false" ht="15" hidden="false" customHeight="true" outlineLevel="0" collapsed="false">
      <c r="A32" s="1" t="s">
        <v>90</v>
      </c>
      <c r="B32" s="1" t="s">
        <v>90</v>
      </c>
      <c r="C32" s="1" t="s">
        <v>85</v>
      </c>
      <c r="D32" s="1" t="s">
        <v>91</v>
      </c>
      <c r="E32" s="1" t="s">
        <v>89</v>
      </c>
      <c r="F32" s="1" t="s">
        <v>89</v>
      </c>
      <c r="G32" s="27" t="n">
        <v>2025</v>
      </c>
      <c r="H32" s="27" t="n">
        <v>41</v>
      </c>
      <c r="I32" s="1" t="s">
        <v>74</v>
      </c>
      <c r="J32" s="1" t="s">
        <v>76</v>
      </c>
      <c r="K32" s="27" t="n">
        <v>125</v>
      </c>
      <c r="L32" s="28" t="n">
        <v>8639.75</v>
      </c>
      <c r="M32" s="27" t="n">
        <v>125</v>
      </c>
      <c r="N32" s="28" t="n">
        <v>8639.75</v>
      </c>
      <c r="O32" s="27" t="n">
        <v>0</v>
      </c>
      <c r="P32" s="28" t="n">
        <v>0</v>
      </c>
      <c r="Q32" s="27" t="n">
        <v>4354</v>
      </c>
      <c r="R32" s="28" t="n">
        <v>317808.45</v>
      </c>
      <c r="S32" s="27" t="n">
        <v>4354</v>
      </c>
      <c r="T32" s="28" t="n">
        <v>317808.45</v>
      </c>
      <c r="U32" s="27" t="n">
        <v>0</v>
      </c>
      <c r="V32" s="28" t="n">
        <v>0</v>
      </c>
      <c r="W32" s="29" t="b">
        <f aca="false">TRUE()</f>
        <v>1</v>
      </c>
      <c r="X32" s="29" t="b">
        <f aca="false">TRUE()</f>
        <v>1</v>
      </c>
    </row>
    <row r="33" customFormat="false" ht="15" hidden="false" customHeight="true" outlineLevel="0" collapsed="false">
      <c r="A33" s="1" t="s">
        <v>90</v>
      </c>
      <c r="B33" s="1" t="s">
        <v>90</v>
      </c>
      <c r="C33" s="1" t="s">
        <v>85</v>
      </c>
      <c r="D33" s="1" t="s">
        <v>91</v>
      </c>
      <c r="E33" s="1" t="s">
        <v>89</v>
      </c>
      <c r="F33" s="1" t="s">
        <v>89</v>
      </c>
      <c r="G33" s="27" t="n">
        <v>2025</v>
      </c>
      <c r="H33" s="27" t="n">
        <v>43</v>
      </c>
      <c r="I33" s="1" t="s">
        <v>74</v>
      </c>
      <c r="J33" s="1" t="s">
        <v>77</v>
      </c>
      <c r="K33" s="27" t="n">
        <v>128</v>
      </c>
      <c r="L33" s="28" t="n">
        <v>8838.01</v>
      </c>
      <c r="M33" s="27" t="n">
        <v>128</v>
      </c>
      <c r="N33" s="28" t="n">
        <v>8838.01</v>
      </c>
      <c r="O33" s="27" t="n">
        <v>0</v>
      </c>
      <c r="P33" s="28" t="n">
        <v>0</v>
      </c>
      <c r="Q33" s="27" t="n">
        <v>4497</v>
      </c>
      <c r="R33" s="28" t="n">
        <v>324678.1</v>
      </c>
      <c r="S33" s="27" t="n">
        <v>4497</v>
      </c>
      <c r="T33" s="28" t="n">
        <v>324678.1</v>
      </c>
      <c r="U33" s="27" t="n">
        <v>0</v>
      </c>
      <c r="V33" s="28" t="n">
        <v>0</v>
      </c>
      <c r="W33" s="29" t="b">
        <f aca="false">TRUE()</f>
        <v>1</v>
      </c>
      <c r="X33" s="29" t="b">
        <f aca="false">TRUE()</f>
        <v>1</v>
      </c>
    </row>
    <row r="34" customFormat="false" ht="15" hidden="false" customHeight="true" outlineLevel="0" collapsed="false">
      <c r="A34" s="1" t="s">
        <v>90</v>
      </c>
      <c r="B34" s="1" t="s">
        <v>90</v>
      </c>
      <c r="C34" s="1" t="s">
        <v>85</v>
      </c>
      <c r="D34" s="1" t="s">
        <v>91</v>
      </c>
      <c r="E34" s="1" t="s">
        <v>89</v>
      </c>
      <c r="F34" s="1" t="s">
        <v>89</v>
      </c>
      <c r="G34" s="27" t="n">
        <v>2025</v>
      </c>
      <c r="H34" s="27" t="n">
        <v>44</v>
      </c>
      <c r="I34" s="1" t="s">
        <v>78</v>
      </c>
      <c r="J34" s="1" t="s">
        <v>79</v>
      </c>
      <c r="K34" s="27" t="n">
        <v>117</v>
      </c>
      <c r="L34" s="28" t="n">
        <v>8131.25</v>
      </c>
      <c r="M34" s="27" t="n">
        <v>117</v>
      </c>
      <c r="N34" s="28" t="n">
        <v>8131.25</v>
      </c>
      <c r="O34" s="27" t="n">
        <v>0</v>
      </c>
      <c r="P34" s="28" t="n">
        <v>0</v>
      </c>
      <c r="Q34" s="27" t="n">
        <v>4578</v>
      </c>
      <c r="R34" s="28" t="n">
        <v>329274.85</v>
      </c>
      <c r="S34" s="27" t="n">
        <v>4578</v>
      </c>
      <c r="T34" s="28" t="n">
        <v>329274.85</v>
      </c>
      <c r="U34" s="27" t="n">
        <v>0</v>
      </c>
      <c r="V34" s="28" t="n">
        <v>0</v>
      </c>
      <c r="W34" s="29" t="b">
        <f aca="false">TRUE()</f>
        <v>1</v>
      </c>
      <c r="X34" s="29" t="b">
        <f aca="false">TRUE()</f>
        <v>1</v>
      </c>
    </row>
    <row r="35" customFormat="false" ht="15" hidden="false" customHeight="true" outlineLevel="0" collapsed="false">
      <c r="A35" s="1" t="s">
        <v>90</v>
      </c>
      <c r="B35" s="1" t="s">
        <v>90</v>
      </c>
      <c r="C35" s="1" t="s">
        <v>85</v>
      </c>
      <c r="D35" s="1" t="s">
        <v>91</v>
      </c>
      <c r="E35" s="1" t="s">
        <v>89</v>
      </c>
      <c r="F35" s="1" t="s">
        <v>89</v>
      </c>
      <c r="G35" s="27" t="n">
        <v>2025</v>
      </c>
      <c r="H35" s="27" t="n">
        <v>46</v>
      </c>
      <c r="I35" s="1" t="s">
        <v>78</v>
      </c>
      <c r="J35" s="1" t="s">
        <v>80</v>
      </c>
      <c r="K35" s="27" t="n">
        <v>118</v>
      </c>
      <c r="L35" s="28" t="n">
        <v>8094.14</v>
      </c>
      <c r="M35" s="27" t="n">
        <v>118</v>
      </c>
      <c r="N35" s="28" t="n">
        <v>8094.14</v>
      </c>
      <c r="O35" s="27" t="n">
        <v>0</v>
      </c>
      <c r="P35" s="28" t="n">
        <v>0</v>
      </c>
      <c r="Q35" s="27" t="n">
        <v>4763</v>
      </c>
      <c r="R35" s="28" t="n">
        <v>339716.41</v>
      </c>
      <c r="S35" s="27" t="n">
        <v>4763</v>
      </c>
      <c r="T35" s="28" t="n">
        <v>339716.41</v>
      </c>
      <c r="U35" s="27" t="n">
        <v>0</v>
      </c>
      <c r="V35" s="28" t="n">
        <v>0</v>
      </c>
      <c r="W35" s="29" t="b">
        <f aca="false">TRUE()</f>
        <v>1</v>
      </c>
      <c r="X35" s="29" t="b">
        <f aca="false">TRUE()</f>
        <v>1</v>
      </c>
    </row>
    <row r="36" customFormat="false" ht="15" hidden="false" customHeight="true" outlineLevel="0" collapsed="false">
      <c r="A36" s="1" t="s">
        <v>90</v>
      </c>
      <c r="B36" s="1" t="s">
        <v>90</v>
      </c>
      <c r="C36" s="1" t="s">
        <v>85</v>
      </c>
      <c r="D36" s="1" t="s">
        <v>91</v>
      </c>
      <c r="E36" s="1" t="s">
        <v>89</v>
      </c>
      <c r="F36" s="1" t="s">
        <v>89</v>
      </c>
      <c r="G36" s="27" t="n">
        <v>2025</v>
      </c>
      <c r="H36" s="27" t="n">
        <v>47</v>
      </c>
      <c r="I36" s="1" t="s">
        <v>78</v>
      </c>
      <c r="J36" s="1" t="s">
        <v>81</v>
      </c>
      <c r="K36" s="27" t="n">
        <v>91</v>
      </c>
      <c r="L36" s="28" t="n">
        <v>6122.69</v>
      </c>
      <c r="M36" s="27" t="n">
        <v>91</v>
      </c>
      <c r="N36" s="28" t="n">
        <v>6122.69</v>
      </c>
      <c r="O36" s="27" t="n">
        <v>0</v>
      </c>
      <c r="P36" s="28" t="n">
        <v>0</v>
      </c>
      <c r="Q36" s="27" t="n">
        <v>4822</v>
      </c>
      <c r="R36" s="28" t="n">
        <v>342589.93</v>
      </c>
      <c r="S36" s="27" t="n">
        <v>4822</v>
      </c>
      <c r="T36" s="28" t="n">
        <v>342589.93</v>
      </c>
      <c r="U36" s="27" t="n">
        <v>0</v>
      </c>
      <c r="V36" s="28" t="n">
        <v>0</v>
      </c>
      <c r="W36" s="29" t="b">
        <f aca="false">TRUE()</f>
        <v>1</v>
      </c>
      <c r="X36" s="29" t="b">
        <f aca="false">TRUE()</f>
        <v>1</v>
      </c>
    </row>
    <row r="37" customFormat="false" ht="15" hidden="false" customHeight="true" outlineLevel="0" collapsed="false">
      <c r="A37" s="1" t="s">
        <v>90</v>
      </c>
      <c r="B37" s="1" t="s">
        <v>90</v>
      </c>
      <c r="C37" s="1" t="s">
        <v>85</v>
      </c>
      <c r="D37" s="1" t="s">
        <v>91</v>
      </c>
      <c r="E37" s="1" t="s">
        <v>89</v>
      </c>
      <c r="F37" s="1" t="s">
        <v>89</v>
      </c>
      <c r="G37" s="27" t="n">
        <v>2025</v>
      </c>
      <c r="H37" s="27" t="n">
        <v>49</v>
      </c>
      <c r="I37" s="1" t="s">
        <v>82</v>
      </c>
      <c r="J37" s="1" t="s">
        <v>83</v>
      </c>
      <c r="K37" s="27" t="n">
        <v>114</v>
      </c>
      <c r="L37" s="28" t="n">
        <v>7815.16</v>
      </c>
      <c r="M37" s="27" t="n">
        <v>114</v>
      </c>
      <c r="N37" s="28" t="n">
        <v>7815.16</v>
      </c>
      <c r="O37" s="27" t="n">
        <v>0</v>
      </c>
      <c r="P37" s="28" t="n">
        <v>0</v>
      </c>
      <c r="Q37" s="27" t="n">
        <v>4960</v>
      </c>
      <c r="R37" s="28" t="n">
        <v>349946.36</v>
      </c>
      <c r="S37" s="27" t="n">
        <v>4960</v>
      </c>
      <c r="T37" s="28" t="n">
        <v>349946.36</v>
      </c>
      <c r="U37" s="27" t="n">
        <v>0</v>
      </c>
      <c r="V37" s="28" t="n">
        <v>0</v>
      </c>
      <c r="W37" s="29" t="b">
        <f aca="false">TRUE()</f>
        <v>1</v>
      </c>
      <c r="X37" s="29" t="b">
        <f aca="false">TRUE()</f>
        <v>1</v>
      </c>
    </row>
  </sheetData>
  <autoFilter ref="A1:X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1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7" min="6" style="1" width="18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8"/>
  </cols>
  <sheetData>
    <row r="1" customFormat="false" ht="15" hidden="false" customHeight="true" outlineLevel="0" collapsed="false">
      <c r="A1" s="26" t="s">
        <v>41</v>
      </c>
      <c r="B1" s="26" t="s">
        <v>42</v>
      </c>
      <c r="C1" s="26" t="s">
        <v>43</v>
      </c>
      <c r="D1" s="26" t="s">
        <v>92</v>
      </c>
      <c r="E1" s="26" t="s">
        <v>44</v>
      </c>
      <c r="F1" s="26" t="s">
        <v>45</v>
      </c>
      <c r="G1" s="26" t="s">
        <v>46</v>
      </c>
      <c r="H1" s="26" t="s">
        <v>93</v>
      </c>
      <c r="I1" s="26" t="s">
        <v>94</v>
      </c>
      <c r="J1" s="26" t="s">
        <v>95</v>
      </c>
    </row>
    <row r="2" customFormat="false" ht="15" hidden="false" customHeight="true" outlineLevel="0" collapsed="false">
      <c r="A2" s="1" t="s">
        <v>96</v>
      </c>
      <c r="C2" s="1" t="s">
        <v>97</v>
      </c>
      <c r="D2" s="1" t="s">
        <v>97</v>
      </c>
      <c r="H2" s="29" t="b">
        <f aca="false">FALSE()</f>
        <v>0</v>
      </c>
      <c r="I2" s="29" t="b">
        <f aca="false">FALSE()</f>
        <v>0</v>
      </c>
      <c r="J2" s="1" t="s">
        <v>98</v>
      </c>
    </row>
    <row r="3" customFormat="false" ht="15" hidden="false" customHeight="true" outlineLevel="0" collapsed="false">
      <c r="A3" s="1" t="s">
        <v>65</v>
      </c>
      <c r="B3" s="1" t="s">
        <v>66</v>
      </c>
      <c r="C3" s="1" t="s">
        <v>67</v>
      </c>
      <c r="D3" s="1" t="s">
        <v>99</v>
      </c>
      <c r="E3" s="1" t="s">
        <v>68</v>
      </c>
      <c r="F3" s="1" t="s">
        <v>69</v>
      </c>
      <c r="G3" s="1" t="s">
        <v>69</v>
      </c>
      <c r="H3" s="29" t="b">
        <f aca="false">TRUE()</f>
        <v>1</v>
      </c>
      <c r="I3" s="29" t="b">
        <f aca="false">TRUE()</f>
        <v>1</v>
      </c>
    </row>
    <row r="4" customFormat="false" ht="15" hidden="false" customHeight="true" outlineLevel="0" collapsed="false">
      <c r="A4" s="1" t="s">
        <v>84</v>
      </c>
      <c r="B4" s="1" t="s">
        <v>84</v>
      </c>
      <c r="C4" s="1" t="s">
        <v>85</v>
      </c>
      <c r="D4" s="1" t="s">
        <v>99</v>
      </c>
      <c r="E4" s="1" t="s">
        <v>86</v>
      </c>
      <c r="F4" s="1" t="s">
        <v>69</v>
      </c>
      <c r="G4" s="1" t="s">
        <v>69</v>
      </c>
      <c r="H4" s="29" t="b">
        <f aca="false">TRUE()</f>
        <v>1</v>
      </c>
      <c r="I4" s="29" t="b">
        <f aca="false">TRUE()</f>
        <v>1</v>
      </c>
    </row>
    <row r="5" customFormat="false" ht="15" hidden="false" customHeight="true" outlineLevel="0" collapsed="false">
      <c r="A5" s="1" t="s">
        <v>100</v>
      </c>
      <c r="C5" s="1" t="s">
        <v>97</v>
      </c>
      <c r="D5" s="1" t="s">
        <v>97</v>
      </c>
      <c r="H5" s="29" t="b">
        <f aca="false">FALSE()</f>
        <v>0</v>
      </c>
      <c r="I5" s="29" t="b">
        <f aca="false">FALSE()</f>
        <v>0</v>
      </c>
      <c r="J5" s="1" t="s">
        <v>98</v>
      </c>
    </row>
    <row r="6" customFormat="false" ht="15" hidden="false" customHeight="true" outlineLevel="0" collapsed="false">
      <c r="A6" s="1" t="s">
        <v>87</v>
      </c>
      <c r="B6" s="1" t="s">
        <v>87</v>
      </c>
      <c r="C6" s="1" t="s">
        <v>85</v>
      </c>
      <c r="D6" s="1" t="s">
        <v>99</v>
      </c>
      <c r="E6" s="1" t="s">
        <v>101</v>
      </c>
      <c r="F6" s="1" t="s">
        <v>89</v>
      </c>
      <c r="G6" s="1" t="s">
        <v>89</v>
      </c>
      <c r="H6" s="29" t="b">
        <f aca="false">TRUE()</f>
        <v>1</v>
      </c>
      <c r="I6" s="29" t="b">
        <f aca="false">TRUE()</f>
        <v>1</v>
      </c>
    </row>
    <row r="7" customFormat="false" ht="15" hidden="false" customHeight="true" outlineLevel="0" collapsed="false">
      <c r="A7" s="1" t="s">
        <v>90</v>
      </c>
      <c r="B7" s="1" t="s">
        <v>90</v>
      </c>
      <c r="C7" s="1" t="s">
        <v>85</v>
      </c>
      <c r="D7" s="1" t="s">
        <v>99</v>
      </c>
      <c r="E7" s="1" t="s">
        <v>102</v>
      </c>
      <c r="F7" s="1" t="s">
        <v>89</v>
      </c>
      <c r="G7" s="1" t="s">
        <v>89</v>
      </c>
      <c r="H7" s="29" t="b">
        <f aca="false">TRUE()</f>
        <v>1</v>
      </c>
      <c r="I7" s="29" t="b">
        <f aca="false">TRUE()</f>
        <v>1</v>
      </c>
    </row>
    <row r="8" customFormat="false" ht="15" hidden="false" customHeight="true" outlineLevel="0" collapsed="false">
      <c r="A8" s="1" t="s">
        <v>103</v>
      </c>
      <c r="C8" s="1" t="s">
        <v>97</v>
      </c>
      <c r="D8" s="1" t="s">
        <v>97</v>
      </c>
      <c r="H8" s="29" t="b">
        <f aca="false">FALSE()</f>
        <v>0</v>
      </c>
      <c r="I8" s="29" t="b">
        <f aca="false">FALSE()</f>
        <v>0</v>
      </c>
      <c r="J8" s="1" t="s">
        <v>98</v>
      </c>
    </row>
    <row r="9" customFormat="false" ht="15" hidden="false" customHeight="true" outlineLevel="0" collapsed="false">
      <c r="A9" s="1" t="s">
        <v>104</v>
      </c>
      <c r="C9" s="1" t="s">
        <v>97</v>
      </c>
      <c r="D9" s="1" t="s">
        <v>97</v>
      </c>
      <c r="H9" s="29" t="b">
        <f aca="false">FALSE()</f>
        <v>0</v>
      </c>
      <c r="I9" s="29" t="b">
        <f aca="false">FALSE()</f>
        <v>0</v>
      </c>
      <c r="J9" s="1" t="s">
        <v>98</v>
      </c>
    </row>
  </sheetData>
  <autoFilter ref="A1:J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2026-04-15T17:47:17Z</dcterms:created>
  <dc:creator>openpyxl</dc:creator>
  <dc:description/>
  <dc:language>en-US</dc:language>
  <cp:lastModifiedBy/>
  <dcterms:modified xsi:type="dcterms:W3CDTF">2026-04-15T23:38:44Z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